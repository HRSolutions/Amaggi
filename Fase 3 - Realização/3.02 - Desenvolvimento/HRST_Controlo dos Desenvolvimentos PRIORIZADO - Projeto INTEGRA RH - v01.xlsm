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/>
  <workbookPr codeName="EstaPasta_de_trabalho" hidePivotFieldList="1" defaultThemeVersion="124226"/>
  <bookViews>
    <workbookView xWindow="7950" yWindow="195" windowWidth="7320" windowHeight="8070"/>
  </bookViews>
  <sheets>
    <sheet name="Desenv. SNLD" sheetId="1" r:id="rId1"/>
    <sheet name="Resumo" sheetId="2" r:id="rId2"/>
    <sheet name="Listas" sheetId="3" state="hidden" r:id="rId3"/>
  </sheets>
  <definedNames>
    <definedName name="_xlnm._FilterDatabase" localSheetId="0" hidden="1">'Desenv. SNLD'!$A$2:$AA$33</definedName>
    <definedName name="_xlnm.Print_Area" localSheetId="0">'Desenv. SNLD'!$B$2:$Z$2</definedName>
    <definedName name="Z_20107420_C70D_4517_BF83_D591027DEEFE_.wvu.Cols" localSheetId="1" hidden="1">Resumo!$C:$D,Resumo!$F:$F</definedName>
    <definedName name="Z_20107420_C70D_4517_BF83_D591027DEEFE_.wvu.FilterData" localSheetId="0" hidden="1">'Desenv. SNLD'!$B$2:$Z$21</definedName>
    <definedName name="Z_20107420_C70D_4517_BF83_D591027DEEFE_.wvu.PrintArea" localSheetId="0" hidden="1">'Desenv. SNLD'!$B$2:$Z$2</definedName>
    <definedName name="Z_4997DE1D_22FF_49BC_8C96_89A8C1D2DA39_.wvu.FilterData" localSheetId="0" hidden="1">'Desenv. SNLD'!$B$2:$Z$21</definedName>
    <definedName name="Z_4997DE1D_22FF_49BC_8C96_89A8C1D2DA39_.wvu.PrintArea" localSheetId="0" hidden="1">'Desenv. SNLD'!$B$2:$Z$2</definedName>
    <definedName name="Z_649918E2_07F0_4EB3_B80E_AA6638E05914_.wvu.FilterData" localSheetId="0" hidden="1">'Desenv. SNLD'!$B$2:$Z$21</definedName>
    <definedName name="Z_649918E2_07F0_4EB3_B80E_AA6638E05914_.wvu.PrintArea" localSheetId="0" hidden="1">'Desenv. SNLD'!$B$2:$Z$2</definedName>
    <definedName name="Z_B066DB0B_2684_415C_8740_DD0376534906_.wvu.Cols" localSheetId="1" hidden="1">Resumo!$C:$D,Resumo!$F:$F</definedName>
    <definedName name="Z_B066DB0B_2684_415C_8740_DD0376534906_.wvu.FilterData" localSheetId="0" hidden="1">'Desenv. SNLD'!$B$2:$Z$21</definedName>
    <definedName name="Z_B066DB0B_2684_415C_8740_DD0376534906_.wvu.PrintArea" localSheetId="0" hidden="1">'Desenv. SNLD'!$B$2:$Z$2</definedName>
  </definedNames>
  <calcPr calcId="145621"/>
  <customWorkbookViews>
    <customWorkbookView name="Wagner - Modo de exibição pessoal" guid="{20107420-C70D-4517-BF83-D591027DEEFE}" mergeInterval="0" personalView="1" maximized="1" windowWidth="1362" windowHeight="502" activeSheetId="2"/>
    <customWorkbookView name="NUTRIMOCOCA - Modo de exibição pessoal" guid="{4997DE1D-22FF-49BC-8C96-89A8C1D2DA39}" mergeInterval="0" personalView="1" maximized="1" windowWidth="1596" windowHeight="675" activeSheetId="1"/>
    <customWorkbookView name="Rogério Bolzani - Modo de exibição pessoal" guid="{649918E2-07F0-4EB3-B80E-AA6638E05914}" mergeInterval="0" personalView="1" maximized="1" windowWidth="1362" windowHeight="542" activeSheetId="1"/>
    <customWorkbookView name="Fernando Nobre - Modo de exibição pessoal" guid="{B066DB0B-2684-415C-8740-DD0376534906}" mergeInterval="0" personalView="1" maximized="1" windowWidth="1362" windowHeight="552" activeSheetId="2"/>
  </customWorkbookViews>
  <pivotCaches>
    <pivotCache cacheId="0" r:id="rId4"/>
  </pivotCaches>
</workbook>
</file>

<file path=xl/calcChain.xml><?xml version="1.0" encoding="utf-8"?>
<calcChain xmlns="http://schemas.openxmlformats.org/spreadsheetml/2006/main">
  <c r="E6" i="2" l="1"/>
  <c r="E5" i="2"/>
  <c r="E9" i="2"/>
  <c r="E7" i="2"/>
  <c r="E8" i="2"/>
</calcChain>
</file>

<file path=xl/sharedStrings.xml><?xml version="1.0" encoding="utf-8"?>
<sst xmlns="http://schemas.openxmlformats.org/spreadsheetml/2006/main" count="77" uniqueCount="61">
  <si>
    <t>MELHORIA</t>
  </si>
  <si>
    <t>Parado</t>
  </si>
  <si>
    <t>Alta</t>
  </si>
  <si>
    <t>Média</t>
  </si>
  <si>
    <t>Concluído</t>
  </si>
  <si>
    <t>Baixa</t>
  </si>
  <si>
    <t>Muito Alta</t>
  </si>
  <si>
    <t>PM</t>
  </si>
  <si>
    <t>Em Definição</t>
  </si>
  <si>
    <t>Testes DEV</t>
  </si>
  <si>
    <t>Testes QAS</t>
  </si>
  <si>
    <t>Aprovado</t>
  </si>
  <si>
    <t>Em Desenvolv.</t>
  </si>
  <si>
    <t>Em Especificação</t>
  </si>
  <si>
    <t>AJUSTE</t>
  </si>
  <si>
    <t>Total Geral</t>
  </si>
  <si>
    <t>(Tudo)</t>
  </si>
  <si>
    <t>Contagem de CÓD.</t>
  </si>
  <si>
    <t>Não Iniciado</t>
  </si>
  <si>
    <t>Desenvolvimento</t>
  </si>
  <si>
    <t>Status</t>
  </si>
  <si>
    <t>Atividade do Plano</t>
  </si>
  <si>
    <t>Tipo</t>
  </si>
  <si>
    <t>Cód.</t>
  </si>
  <si>
    <t>Prioridade</t>
  </si>
  <si>
    <t>Sequência</t>
  </si>
  <si>
    <t>Módulo</t>
  </si>
  <si>
    <t>Processo</t>
  </si>
  <si>
    <t>Espec. Funcional
Início</t>
  </si>
  <si>
    <t>Espec. Funcional
Término</t>
  </si>
  <si>
    <t>Denvolv.
Início</t>
  </si>
  <si>
    <t>Desenv.
Término</t>
  </si>
  <si>
    <t>Previsão
em PRD</t>
  </si>
  <si>
    <t>Comentários</t>
  </si>
  <si>
    <t>Solicitante</t>
  </si>
  <si>
    <t>Abap</t>
  </si>
  <si>
    <t>Funcional</t>
  </si>
  <si>
    <t>Consequência</t>
  </si>
  <si>
    <t>Problema</t>
  </si>
  <si>
    <t>DEADLINE</t>
  </si>
  <si>
    <t>Data Programada</t>
  </si>
  <si>
    <t>Tempo estim. ABAP (dias)</t>
  </si>
  <si>
    <t>IMPLEMENTAÇÃO</t>
  </si>
  <si>
    <t>Chamado
SDP</t>
  </si>
  <si>
    <t>GAP00239</t>
  </si>
  <si>
    <t>GAP00242</t>
  </si>
  <si>
    <t>SD</t>
  </si>
  <si>
    <t>MM</t>
  </si>
  <si>
    <t>FI</t>
  </si>
  <si>
    <t>Carga Transação LSO_PSV2 (Criação de Formação)</t>
  </si>
  <si>
    <t>Integração MM x HCM (Envio de Email)</t>
  </si>
  <si>
    <t>Vanessa Motta / Antonio Lara</t>
  </si>
  <si>
    <t>Vanessa Mota / Antonio Lara</t>
  </si>
  <si>
    <t>CO</t>
  </si>
  <si>
    <t>FM</t>
  </si>
  <si>
    <t>cancelado</t>
  </si>
  <si>
    <t>Não aplicável, há outro gap na relação HCM</t>
  </si>
  <si>
    <t>Será substituído por uma automação HCM &gt;&gt;&gt; SD</t>
  </si>
  <si>
    <t>Tempo estim. ABAP (dias) Ultra</t>
  </si>
  <si>
    <t>Bjorn Paz</t>
  </si>
  <si>
    <t>CONTROLO DE DESENVOLVIMENTOS - INTEGRA RH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</si>
</sst>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sz val="20"/>
      <name val="Arial"/>
      <family val="2"/>
    </font>
    <font>
      <sz val="8"/>
      <name val="Arial"/>
      <family val="2"/>
    </font>
    <font>
      <sz val="8"/>
      <color indexed="8"/>
      <name val="Arial"/>
      <family val="2"/>
    </font>
    <font>
      <b/>
      <sz val="14"/>
      <color indexed="9"/>
      <name val="Arial"/>
      <family val="2"/>
    </font>
    <font>
      <sz val="10"/>
      <name val="Arial"/>
      <family val="2"/>
    </font>
    <font>
      <u/>
      <sz val="10"/>
      <color theme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3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5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5">
    <xf numFmtId="0" fontId="0" fillId="0" borderId="0"/>
    <xf numFmtId="0" fontId="1" fillId="0" borderId="0"/>
    <xf numFmtId="9" fontId="1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44">
    <xf numFmtId="0" fontId="0" fillId="0" borderId="0" xfId="0"/>
    <xf numFmtId="0" fontId="2" fillId="0" borderId="0" xfId="0" applyFont="1"/>
    <xf numFmtId="0" fontId="3" fillId="2" borderId="2" xfId="0" applyFont="1" applyFill="1" applyBorder="1" applyAlignment="1" applyProtection="1">
      <alignment horizontal="center" vertical="center" wrapText="1"/>
      <protection locked="0"/>
    </xf>
    <xf numFmtId="0" fontId="3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3" fillId="2" borderId="1" xfId="0" applyFont="1" applyFill="1" applyBorder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 wrapText="1"/>
      <protection locked="0"/>
    </xf>
    <xf numFmtId="0" fontId="2" fillId="0" borderId="0" xfId="0" applyFont="1" applyAlignment="1" applyProtection="1">
      <alignment horizontal="center" vertical="center" wrapText="1"/>
      <protection locked="0"/>
    </xf>
    <xf numFmtId="0" fontId="6" fillId="0" borderId="1" xfId="0" applyFont="1" applyFill="1" applyBorder="1" applyAlignment="1" applyProtection="1">
      <alignment horizontal="center" vertical="center" wrapText="1"/>
      <protection locked="0"/>
    </xf>
    <xf numFmtId="0" fontId="5" fillId="0" borderId="1" xfId="0" applyFont="1" applyFill="1" applyBorder="1" applyAlignment="1" applyProtection="1">
      <alignment horizontal="center" vertical="center" wrapText="1"/>
      <protection locked="0"/>
    </xf>
    <xf numFmtId="0" fontId="5" fillId="0" borderId="1" xfId="0" applyFont="1" applyFill="1" applyBorder="1" applyAlignment="1" applyProtection="1">
      <alignment horizontal="left" vertical="center" wrapText="1"/>
      <protection locked="0"/>
    </xf>
    <xf numFmtId="14" fontId="5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1" xfId="0" applyFont="1" applyFill="1" applyBorder="1" applyAlignment="1" applyProtection="1">
      <alignment vertical="center" wrapText="1"/>
      <protection locked="0"/>
    </xf>
    <xf numFmtId="0" fontId="2" fillId="0" borderId="0" xfId="0" applyFont="1" applyFill="1" applyProtection="1">
      <protection locked="0"/>
    </xf>
    <xf numFmtId="16" fontId="5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2" fillId="0" borderId="0" xfId="0" applyFont="1" applyFill="1" applyAlignment="1" applyProtection="1">
      <protection locked="0"/>
    </xf>
    <xf numFmtId="0" fontId="2" fillId="0" borderId="0" xfId="0" applyFont="1" applyFill="1" applyAlignment="1" applyProtection="1">
      <alignment horizontal="center"/>
      <protection locked="0"/>
    </xf>
    <xf numFmtId="0" fontId="2" fillId="0" borderId="0" xfId="0" applyFont="1" applyFill="1" applyAlignment="1" applyProtection="1">
      <alignment horizontal="left"/>
      <protection locked="0"/>
    </xf>
    <xf numFmtId="0" fontId="5" fillId="3" borderId="1" xfId="0" applyFont="1" applyFill="1" applyBorder="1" applyAlignment="1" applyProtection="1">
      <alignment horizontal="center" vertical="center" wrapText="1"/>
      <protection locked="0"/>
    </xf>
    <xf numFmtId="9" fontId="0" fillId="0" borderId="0" xfId="3" applyFont="1"/>
    <xf numFmtId="0" fontId="0" fillId="0" borderId="6" xfId="0" pivotButton="1" applyBorder="1"/>
    <xf numFmtId="0" fontId="0" fillId="0" borderId="7" xfId="0" applyBorder="1"/>
    <xf numFmtId="0" fontId="0" fillId="0" borderId="6" xfId="0" applyBorder="1"/>
    <xf numFmtId="0" fontId="0" fillId="0" borderId="8" xfId="0" applyBorder="1"/>
    <xf numFmtId="0" fontId="0" fillId="0" borderId="6" xfId="0" applyNumberFormat="1" applyBorder="1"/>
    <xf numFmtId="0" fontId="0" fillId="0" borderId="8" xfId="0" applyNumberFormat="1" applyBorder="1"/>
    <xf numFmtId="0" fontId="0" fillId="0" borderId="9" xfId="0" applyBorder="1"/>
    <xf numFmtId="0" fontId="0" fillId="0" borderId="9" xfId="0" applyNumberFormat="1" applyBorder="1"/>
    <xf numFmtId="0" fontId="0" fillId="0" borderId="10" xfId="0" applyNumberFormat="1" applyBorder="1"/>
    <xf numFmtId="0" fontId="0" fillId="0" borderId="11" xfId="0" applyBorder="1"/>
    <xf numFmtId="0" fontId="0" fillId="0" borderId="11" xfId="0" applyNumberFormat="1" applyBorder="1"/>
    <xf numFmtId="0" fontId="0" fillId="0" borderId="12" xfId="0" applyNumberFormat="1" applyBorder="1"/>
    <xf numFmtId="0" fontId="0" fillId="0" borderId="12" xfId="0" pivotButton="1" applyBorder="1"/>
    <xf numFmtId="0" fontId="0" fillId="0" borderId="12" xfId="0" applyBorder="1"/>
    <xf numFmtId="0" fontId="9" fillId="0" borderId="1" xfId="4" applyFill="1" applyBorder="1" applyAlignment="1" applyProtection="1">
      <alignment horizontal="center" vertical="center" wrapText="1"/>
      <protection locked="0"/>
    </xf>
    <xf numFmtId="0" fontId="9" fillId="0" borderId="1" xfId="4" applyBorder="1" applyAlignment="1">
      <alignment horizontal="center"/>
    </xf>
    <xf numFmtId="0" fontId="6" fillId="4" borderId="1" xfId="0" applyFont="1" applyFill="1" applyBorder="1" applyAlignment="1" applyProtection="1">
      <alignment horizontal="center" vertical="center" wrapText="1"/>
      <protection locked="0"/>
    </xf>
    <xf numFmtId="0" fontId="5" fillId="4" borderId="1" xfId="0" applyFont="1" applyFill="1" applyBorder="1" applyAlignment="1" applyProtection="1">
      <alignment horizontal="center" vertical="center" wrapText="1"/>
      <protection locked="0"/>
    </xf>
    <xf numFmtId="0" fontId="5" fillId="4" borderId="1" xfId="0" applyFont="1" applyFill="1" applyBorder="1" applyAlignment="1" applyProtection="1">
      <alignment horizontal="left" vertical="center" wrapText="1"/>
      <protection locked="0"/>
    </xf>
    <xf numFmtId="0" fontId="6" fillId="5" borderId="1" xfId="0" applyFont="1" applyFill="1" applyBorder="1" applyAlignment="1" applyProtection="1">
      <alignment horizontal="center" vertical="center" wrapText="1"/>
      <protection locked="0"/>
    </xf>
    <xf numFmtId="0" fontId="5" fillId="6" borderId="1" xfId="0" applyFont="1" applyFill="1" applyBorder="1" applyAlignment="1" applyProtection="1">
      <alignment horizontal="center" vertical="center" wrapText="1"/>
      <protection locked="0"/>
    </xf>
    <xf numFmtId="0" fontId="5" fillId="5" borderId="1" xfId="0" applyFont="1" applyFill="1" applyBorder="1" applyAlignment="1" applyProtection="1">
      <alignment horizontal="center" vertical="center" wrapText="1"/>
      <protection locked="0"/>
    </xf>
    <xf numFmtId="0" fontId="7" fillId="2" borderId="3" xfId="0" applyFont="1" applyFill="1" applyBorder="1" applyAlignment="1" applyProtection="1">
      <alignment horizontal="center" vertical="center" wrapText="1"/>
      <protection locked="0"/>
    </xf>
    <xf numFmtId="0" fontId="7" fillId="2" borderId="4" xfId="0" applyFont="1" applyFill="1" applyBorder="1" applyAlignment="1" applyProtection="1">
      <alignment horizontal="center" vertical="center" wrapText="1"/>
      <protection locked="0"/>
    </xf>
    <xf numFmtId="0" fontId="7" fillId="2" borderId="5" xfId="0" applyFont="1" applyFill="1" applyBorder="1" applyAlignment="1" applyProtection="1">
      <alignment horizontal="center" vertical="center" wrapText="1"/>
      <protection locked="0"/>
    </xf>
  </cellXfs>
  <cellStyles count="5">
    <cellStyle name="Hiperlink" xfId="4" builtinId="8"/>
    <cellStyle name="Normal" xfId="0" builtinId="0"/>
    <cellStyle name="Normal 2" xfId="1"/>
    <cellStyle name="Porcentagem" xfId="3" builtinId="5"/>
    <cellStyle name="Porcentagem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pivotSource>
    <c:name>[HRST_Controlo dos Desenvolvimentos PRIORIZADO - Projeto INTEGRA RH - v01.xlsm]Resumo!Tabela dinâmica4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Acompanhamento de atividades </a:t>
            </a:r>
            <a:r>
              <a:rPr lang="en-US" baseline="0"/>
              <a:t>do Painel de Indicadores</a:t>
            </a:r>
          </a:p>
          <a:p>
            <a:pPr>
              <a:defRPr/>
            </a:pPr>
            <a:r>
              <a:rPr lang="en-US" baseline="0"/>
              <a:t>Empresa ACADEMIA</a:t>
            </a:r>
            <a:endParaRPr lang="en-US"/>
          </a:p>
        </c:rich>
      </c:tx>
      <c:layout>
        <c:manualLayout>
          <c:xMode val="edge"/>
          <c:yMode val="edge"/>
          <c:x val="0.16349880916664145"/>
          <c:y val="4.8537425854897766E-2"/>
        </c:manualLayout>
      </c:layout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7.7101488711431895E-2"/>
          <c:y val="0.25357138075130459"/>
          <c:w val="0.80584027074833564"/>
          <c:h val="0.5731679632296284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Resumo!$B$3:$B$4</c:f>
              <c:strCache>
                <c:ptCount val="1"/>
                <c:pt idx="0">
                  <c:v>PM</c:v>
                </c:pt>
              </c:strCache>
            </c:strRef>
          </c:tx>
          <c:invertIfNegative val="0"/>
          <c:cat>
            <c:strRef>
              <c:f>Resumo!$A$5:$A$10</c:f>
              <c:strCache>
                <c:ptCount val="5"/>
                <c:pt idx="0">
                  <c:v>Em Desenvolv.</c:v>
                </c:pt>
                <c:pt idx="1">
                  <c:v>Não Iniciado</c:v>
                </c:pt>
                <c:pt idx="2">
                  <c:v>Testes DEV</c:v>
                </c:pt>
                <c:pt idx="3">
                  <c:v>Em Especificação</c:v>
                </c:pt>
                <c:pt idx="4">
                  <c:v>Parado</c:v>
                </c:pt>
              </c:strCache>
            </c:strRef>
          </c:cat>
          <c:val>
            <c:numRef>
              <c:f>Resumo!$B$5:$B$10</c:f>
              <c:numCache>
                <c:formatCode>General</c:formatCode>
                <c:ptCount val="5"/>
                <c:pt idx="0">
                  <c:v>1</c:v>
                </c:pt>
                <c:pt idx="1">
                  <c:v>4</c:v>
                </c:pt>
                <c:pt idx="2">
                  <c:v>4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8447104"/>
        <c:axId val="178448640"/>
      </c:barChart>
      <c:catAx>
        <c:axId val="178447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78448640"/>
        <c:crosses val="autoZero"/>
        <c:auto val="0"/>
        <c:lblAlgn val="ctr"/>
        <c:lblOffset val="100"/>
        <c:noMultiLvlLbl val="0"/>
      </c:catAx>
      <c:valAx>
        <c:axId val="178448640"/>
        <c:scaling>
          <c:orientation val="minMax"/>
        </c:scaling>
        <c:delete val="0"/>
        <c:axPos val="l"/>
        <c:majorGridlines/>
        <c:numFmt formatCode="ge\r\a\l" sourceLinked="0"/>
        <c:majorTickMark val="out"/>
        <c:minorTickMark val="none"/>
        <c:tickLblPos val="nextTo"/>
        <c:crossAx val="1784471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gradFill>
      <a:gsLst>
        <a:gs pos="0">
          <a:schemeClr val="tx1">
            <a:lumMod val="65000"/>
            <a:lumOff val="3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</c:spPr>
  <c:printSettings>
    <c:headerFooter/>
    <c:pageMargins b="0.78740157499999996" l="0.511811024" r="0.511811024" t="0.78740157499999996" header="0.31496062000000008" footer="0.31496062000000008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171450</xdr:colOff>
      <xdr:row>0</xdr:row>
      <xdr:rowOff>57151</xdr:rowOff>
    </xdr:from>
    <xdr:to>
      <xdr:col>10</xdr:col>
      <xdr:colOff>1362074</xdr:colOff>
      <xdr:row>20</xdr:row>
      <xdr:rowOff>104775</xdr:rowOff>
    </xdr:to>
    <xdr:graphicFrame macro="">
      <xdr:nvGraphicFramePr>
        <xdr:cNvPr id="7192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CER V5" refreshedDate="41548.488910300926" createdVersion="4" refreshedVersion="5" minRefreshableVersion="3" recordCount="37">
  <cacheSource type="worksheet">
    <worksheetSource ref="B2:Z39" sheet="Desenv. SNLD"/>
  </cacheSource>
  <cacheFields count="24">
    <cacheField name="Cód." numFmtId="0">
      <sharedItems containsString="0" containsBlank="1" containsNumber="1" containsInteger="1" minValue="1" maxValue="11"/>
    </cacheField>
    <cacheField name="Prioridade" numFmtId="0">
      <sharedItems containsBlank="1" count="2">
        <s v="Alta"/>
        <m/>
      </sharedItems>
    </cacheField>
    <cacheField name="Sequência" numFmtId="0">
      <sharedItems containsString="0" containsBlank="1" containsNumber="1" containsInteger="1" minValue="1" maxValue="7"/>
    </cacheField>
    <cacheField name="Módulo" numFmtId="0">
      <sharedItems containsBlank="1" count="2">
        <s v="PM"/>
        <m/>
      </sharedItems>
    </cacheField>
    <cacheField name="Processo" numFmtId="0">
      <sharedItems containsBlank="1"/>
    </cacheField>
    <cacheField name="Tipo" numFmtId="0">
      <sharedItems containsBlank="1"/>
    </cacheField>
    <cacheField name="Atividade do Plano" numFmtId="0">
      <sharedItems containsNonDate="0" containsString="0" containsBlank="1"/>
    </cacheField>
    <cacheField name="Status" numFmtId="0">
      <sharedItems containsBlank="1" count="6">
        <s v="Testes DEV"/>
        <s v="Em Especificação"/>
        <s v="Parado"/>
        <s v="Não Iniciado"/>
        <s v="Em Desenvolv."/>
        <m/>
      </sharedItems>
    </cacheField>
    <cacheField name="Desenvolvimento" numFmtId="0">
      <sharedItems containsBlank="1"/>
    </cacheField>
    <cacheField name="Problema" numFmtId="0">
      <sharedItems containsNonDate="0" containsString="0" containsBlank="1"/>
    </cacheField>
    <cacheField name="Consequência" numFmtId="0">
      <sharedItems containsNonDate="0" containsString="0" containsBlank="1"/>
    </cacheField>
    <cacheField name="Chamado_x000a_Solman" numFmtId="0">
      <sharedItems containsNonDate="0" containsString="0" containsBlank="1"/>
    </cacheField>
    <cacheField name="Funcional" numFmtId="0">
      <sharedItems containsBlank="1"/>
    </cacheField>
    <cacheField name="Abap" numFmtId="0">
      <sharedItems containsBlank="1"/>
    </cacheField>
    <cacheField name="DEADLINE" numFmtId="0">
      <sharedItems containsDate="1" containsBlank="1" containsMixedTypes="1" minDate="2013-07-31T00:00:00" maxDate="2013-11-07T00:00:00"/>
    </cacheField>
    <cacheField name="Data Programada" numFmtId="0">
      <sharedItems containsNonDate="0" containsString="0" containsBlank="1"/>
    </cacheField>
    <cacheField name="Tempo estim. ABAP (dias)" numFmtId="0">
      <sharedItems containsString="0" containsBlank="1" containsNumber="1" containsInteger="1" minValue="3" maxValue="20"/>
    </cacheField>
    <cacheField name="Espec. Funcional_x000a_Início" numFmtId="0">
      <sharedItems containsNonDate="0" containsDate="1" containsString="0" containsBlank="1" minDate="2013-07-30T00:00:00" maxDate="2013-10-01T00:00:00"/>
    </cacheField>
    <cacheField name="Espec. Funcional_x000a_Término" numFmtId="0">
      <sharedItems containsNonDate="0" containsDate="1" containsString="0" containsBlank="1" minDate="2013-07-31T00:00:00" maxDate="2013-09-07T00:00:00"/>
    </cacheField>
    <cacheField name="Denvolv._x000a_Início" numFmtId="0">
      <sharedItems containsNonDate="0" containsDate="1" containsString="0" containsBlank="1" minDate="2013-07-30T00:00:00" maxDate="2013-08-27T00:00:00"/>
    </cacheField>
    <cacheField name="Desenv._x000a_Término" numFmtId="0">
      <sharedItems containsNonDate="0" containsDate="1" containsString="0" containsBlank="1" minDate="2013-07-31T00:00:00" maxDate="2013-08-10T00:00:00"/>
    </cacheField>
    <cacheField name="Previsão_x000a_em PRD" numFmtId="14">
      <sharedItems containsBlank="1"/>
    </cacheField>
    <cacheField name="Comentários" numFmtId="0">
      <sharedItems containsBlank="1" longText="1"/>
    </cacheField>
    <cacheField name="Solicitant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7">
  <r>
    <n v="1"/>
    <x v="0"/>
    <n v="1"/>
    <x v="0"/>
    <s v="Gestão de Manutenção"/>
    <s v="IMPLEMENTAÇÃO"/>
    <m/>
    <x v="0"/>
    <s v="MTBR / MTTR - Local de Instalação"/>
    <m/>
    <m/>
    <m/>
    <s v="Saulo Ventorin"/>
    <s v="Fernando Gomes"/>
    <d v="2013-07-31T00:00:00"/>
    <m/>
    <n v="3"/>
    <d v="2013-07-30T00:00:00"/>
    <d v="2013-07-31T00:00:00"/>
    <d v="2013-07-30T00:00:00"/>
    <d v="2013-07-31T00:00:00"/>
    <s v="N/A"/>
    <s v="Entrada em produção será somente após todos estarem prontos e com os ajustes da gerencia técnica."/>
    <s v="Kandandji"/>
  </r>
  <r>
    <n v="2"/>
    <x v="0"/>
    <n v="2"/>
    <x v="0"/>
    <s v="Gestão de Manutenção"/>
    <s v="IMPLEMENTAÇÃO"/>
    <m/>
    <x v="0"/>
    <s v="MTBR / MTTR - Equipamento"/>
    <m/>
    <m/>
    <m/>
    <s v="Saulo Ventorin"/>
    <s v="Fernando Gomes"/>
    <d v="2013-08-02T00:00:00"/>
    <m/>
    <n v="3"/>
    <d v="2013-08-01T00:00:00"/>
    <d v="2013-08-02T00:00:00"/>
    <d v="2013-08-01T00:00:00"/>
    <d v="2013-08-02T00:00:00"/>
    <s v="N/A"/>
    <s v="Entrada em produção será somente após todos estarem prontos e com os ajustes da gerencia técnica."/>
    <s v="Kandandji"/>
  </r>
  <r>
    <n v="3"/>
    <x v="0"/>
    <n v="3"/>
    <x v="0"/>
    <s v="Gestão de Manutenção"/>
    <s v="IMPLEMENTAÇÃO"/>
    <m/>
    <x v="0"/>
    <s v="Confiabilidade - Local de Instalação"/>
    <m/>
    <m/>
    <m/>
    <s v="Saulo Ventorin"/>
    <s v="Fernando Gomes"/>
    <d v="2013-08-08T00:00:00"/>
    <m/>
    <n v="3"/>
    <d v="2013-08-05T00:00:00"/>
    <d v="2013-08-08T00:00:00"/>
    <d v="2013-08-06T00:00:00"/>
    <d v="2013-08-08T00:00:00"/>
    <s v="N/A"/>
    <s v="Entrada em produção será somente após todos estarem prontos e com os ajustes da gerencia técnica."/>
    <s v="Kandandji"/>
  </r>
  <r>
    <n v="4"/>
    <x v="0"/>
    <n v="4"/>
    <x v="0"/>
    <s v="Gestão de Manutenção"/>
    <s v="IMPLEMENTAÇÃO"/>
    <m/>
    <x v="0"/>
    <s v="Confiabilidade - Equipamento"/>
    <m/>
    <m/>
    <m/>
    <s v="Saulo Ventorin"/>
    <s v="Fernando Gomes"/>
    <d v="2013-08-09T00:00:00"/>
    <m/>
    <n v="3"/>
    <d v="2013-08-05T00:00:00"/>
    <d v="2013-08-09T00:00:00"/>
    <d v="2013-08-08T00:00:00"/>
    <d v="2013-08-09T00:00:00"/>
    <s v="N/A"/>
    <s v="Entrada em produção será somente após todos estarem prontos e com os ajustes da gerencia técnica."/>
    <s v="Kandandji"/>
  </r>
  <r>
    <n v="5"/>
    <x v="0"/>
    <n v="7"/>
    <x v="0"/>
    <s v="Gestão de Manutenção"/>
    <s v="IMPLEMENTAÇÃO"/>
    <m/>
    <x v="1"/>
    <s v="Relatório ICPMP - Índice de Cumprimento de Manutenção Preventiva"/>
    <m/>
    <m/>
    <m/>
    <s v="Saulo Ventorin"/>
    <s v="Fernando Gomes"/>
    <d v="2013-11-06T00:00:00"/>
    <m/>
    <n v="10"/>
    <d v="2013-09-30T00:00:00"/>
    <m/>
    <m/>
    <m/>
    <s v="N/A"/>
    <s v="Entrada em produção será somente após todos estarem prontos e com os ajustes da gerencia técnica. 5% concluido, especificação funcional em andamento."/>
    <s v="Kandandji"/>
  </r>
  <r>
    <n v="6"/>
    <x v="0"/>
    <n v="6"/>
    <x v="0"/>
    <s v="Gestão de Manutenção"/>
    <s v="IMPLEMENTAÇÃO"/>
    <m/>
    <x v="2"/>
    <s v="Disponibilidade de Equipamento"/>
    <m/>
    <m/>
    <m/>
    <s v="Saulo Ventorin"/>
    <s v="Fernando Gomes"/>
    <d v="2013-10-24T00:00:00"/>
    <m/>
    <n v="20"/>
    <d v="2013-08-26T00:00:00"/>
    <d v="2013-09-06T00:00:00"/>
    <m/>
    <m/>
    <s v="N/A"/>
    <s v="Entrada em produção será somente após todos estarem prontos e com os ajustes da gerencia técnica. 40% concluido, desenvolvimento ABAP ainda não começou pois a especificação não foi liberada para desenvolvimento, ainda vão faltar efetuar testes, podendo haver necessidades de ajustes."/>
    <s v="Kandandji"/>
  </r>
  <r>
    <n v="7"/>
    <x v="0"/>
    <m/>
    <x v="0"/>
    <s v="Gestão de Manutenção"/>
    <s v="IMPLEMENTAÇÃO"/>
    <m/>
    <x v="3"/>
    <s v="Indicador de Análise de Falhas"/>
    <m/>
    <m/>
    <m/>
    <s v="Saulo Ventorin"/>
    <s v="Fernando Gomes"/>
    <m/>
    <m/>
    <m/>
    <m/>
    <m/>
    <m/>
    <m/>
    <m/>
    <m/>
    <s v="Kandandji"/>
  </r>
  <r>
    <n v="8"/>
    <x v="0"/>
    <n v="5"/>
    <x v="0"/>
    <s v="Gestão de Manutenção"/>
    <s v="IMPLEMENTAÇÃO"/>
    <m/>
    <x v="4"/>
    <s v="Back Log de Ordens de Manutenção"/>
    <m/>
    <m/>
    <m/>
    <s v="Saulo Ventorin"/>
    <s v="Fernando Gomes"/>
    <s v="06/09/203"/>
    <m/>
    <n v="10"/>
    <d v="2013-08-12T00:00:00"/>
    <d v="2013-08-23T00:00:00"/>
    <d v="2013-08-26T00:00:00"/>
    <m/>
    <s v="N/A"/>
    <s v="Entrada em produção será somente após todos estarem prontos e com os ajustes da gerencia técnica. 75% concluido, desenvolvimento ABAP em andamento e falta efetuar testes, podendo haver necessidades de ajustes."/>
    <s v="Kandandji"/>
  </r>
  <r>
    <n v="9"/>
    <x v="0"/>
    <m/>
    <x v="0"/>
    <s v="Gestão de Manutenção"/>
    <s v="IMPLEMENTAÇÃO"/>
    <m/>
    <x v="3"/>
    <s v="Indicador de Custos de Man. - Corret. e Prevent."/>
    <m/>
    <m/>
    <m/>
    <s v="Saulo Ventorin"/>
    <s v="Fernando Gomes"/>
    <m/>
    <m/>
    <m/>
    <m/>
    <m/>
    <m/>
    <m/>
    <m/>
    <m/>
    <s v="Kandandji"/>
  </r>
  <r>
    <n v="10"/>
    <x v="0"/>
    <m/>
    <x v="0"/>
    <s v="Gestão de Manutenção"/>
    <s v="IMPLEMENTAÇÃO"/>
    <m/>
    <x v="3"/>
    <s v="Ciclo de Vida das Ordens de Manutenção"/>
    <m/>
    <m/>
    <m/>
    <s v="Saulo Ventorin"/>
    <s v="Fernando Gomes"/>
    <m/>
    <m/>
    <m/>
    <m/>
    <m/>
    <m/>
    <m/>
    <m/>
    <m/>
    <s v="Kandandji"/>
  </r>
  <r>
    <n v="11"/>
    <x v="0"/>
    <m/>
    <x v="0"/>
    <s v="Gestão de Manutenção"/>
    <s v="IMPLEMENTAÇÃO"/>
    <m/>
    <x v="3"/>
    <s v="Indicador de Satisfação do Cliente"/>
    <m/>
    <m/>
    <m/>
    <s v="Saulo Ventorin"/>
    <s v="Fernando Gomes"/>
    <m/>
    <m/>
    <m/>
    <m/>
    <m/>
    <m/>
    <m/>
    <m/>
    <m/>
    <s v="Kandandji"/>
  </r>
  <r>
    <m/>
    <x v="1"/>
    <m/>
    <x v="1"/>
    <m/>
    <m/>
    <m/>
    <x v="5"/>
    <m/>
    <m/>
    <m/>
    <m/>
    <m/>
    <m/>
    <m/>
    <m/>
    <m/>
    <m/>
    <m/>
    <m/>
    <m/>
    <m/>
    <m/>
    <m/>
  </r>
  <r>
    <m/>
    <x v="1"/>
    <m/>
    <x v="1"/>
    <m/>
    <m/>
    <m/>
    <x v="5"/>
    <m/>
    <m/>
    <m/>
    <m/>
    <m/>
    <m/>
    <m/>
    <m/>
    <m/>
    <m/>
    <m/>
    <m/>
    <m/>
    <m/>
    <m/>
    <m/>
  </r>
  <r>
    <m/>
    <x v="1"/>
    <m/>
    <x v="1"/>
    <m/>
    <m/>
    <m/>
    <x v="5"/>
    <m/>
    <m/>
    <m/>
    <m/>
    <m/>
    <m/>
    <m/>
    <m/>
    <m/>
    <m/>
    <m/>
    <m/>
    <m/>
    <m/>
    <m/>
    <m/>
  </r>
  <r>
    <m/>
    <x v="1"/>
    <m/>
    <x v="1"/>
    <m/>
    <m/>
    <m/>
    <x v="5"/>
    <m/>
    <m/>
    <m/>
    <m/>
    <m/>
    <m/>
    <m/>
    <m/>
    <m/>
    <m/>
    <m/>
    <m/>
    <m/>
    <m/>
    <m/>
    <m/>
  </r>
  <r>
    <m/>
    <x v="1"/>
    <m/>
    <x v="1"/>
    <m/>
    <m/>
    <m/>
    <x v="5"/>
    <m/>
    <m/>
    <m/>
    <m/>
    <m/>
    <m/>
    <m/>
    <m/>
    <m/>
    <m/>
    <m/>
    <m/>
    <m/>
    <m/>
    <m/>
    <m/>
  </r>
  <r>
    <m/>
    <x v="1"/>
    <m/>
    <x v="1"/>
    <m/>
    <m/>
    <m/>
    <x v="5"/>
    <m/>
    <m/>
    <m/>
    <m/>
    <m/>
    <m/>
    <m/>
    <m/>
    <m/>
    <m/>
    <m/>
    <m/>
    <m/>
    <m/>
    <m/>
    <m/>
  </r>
  <r>
    <m/>
    <x v="1"/>
    <m/>
    <x v="1"/>
    <m/>
    <m/>
    <m/>
    <x v="5"/>
    <m/>
    <m/>
    <m/>
    <m/>
    <m/>
    <m/>
    <m/>
    <m/>
    <m/>
    <m/>
    <m/>
    <m/>
    <m/>
    <m/>
    <m/>
    <m/>
  </r>
  <r>
    <m/>
    <x v="1"/>
    <m/>
    <x v="1"/>
    <m/>
    <m/>
    <m/>
    <x v="5"/>
    <m/>
    <m/>
    <m/>
    <m/>
    <m/>
    <m/>
    <m/>
    <m/>
    <m/>
    <m/>
    <m/>
    <m/>
    <m/>
    <m/>
    <m/>
    <m/>
  </r>
  <r>
    <m/>
    <x v="1"/>
    <m/>
    <x v="1"/>
    <m/>
    <m/>
    <m/>
    <x v="5"/>
    <m/>
    <m/>
    <m/>
    <m/>
    <m/>
    <m/>
    <m/>
    <m/>
    <m/>
    <m/>
    <m/>
    <m/>
    <m/>
    <m/>
    <m/>
    <m/>
  </r>
  <r>
    <m/>
    <x v="1"/>
    <m/>
    <x v="1"/>
    <m/>
    <m/>
    <m/>
    <x v="5"/>
    <m/>
    <m/>
    <m/>
    <m/>
    <m/>
    <m/>
    <m/>
    <m/>
    <m/>
    <m/>
    <m/>
    <m/>
    <m/>
    <m/>
    <m/>
    <m/>
  </r>
  <r>
    <m/>
    <x v="1"/>
    <m/>
    <x v="1"/>
    <m/>
    <m/>
    <m/>
    <x v="5"/>
    <m/>
    <m/>
    <m/>
    <m/>
    <m/>
    <m/>
    <m/>
    <m/>
    <m/>
    <m/>
    <m/>
    <m/>
    <m/>
    <m/>
    <m/>
    <m/>
  </r>
  <r>
    <m/>
    <x v="1"/>
    <m/>
    <x v="1"/>
    <m/>
    <m/>
    <m/>
    <x v="5"/>
    <m/>
    <m/>
    <m/>
    <m/>
    <m/>
    <m/>
    <m/>
    <m/>
    <m/>
    <m/>
    <m/>
    <m/>
    <m/>
    <m/>
    <m/>
    <m/>
  </r>
  <r>
    <m/>
    <x v="1"/>
    <m/>
    <x v="1"/>
    <m/>
    <m/>
    <m/>
    <x v="5"/>
    <m/>
    <m/>
    <m/>
    <m/>
    <m/>
    <m/>
    <m/>
    <m/>
    <m/>
    <m/>
    <m/>
    <m/>
    <m/>
    <m/>
    <m/>
    <m/>
  </r>
  <r>
    <m/>
    <x v="1"/>
    <m/>
    <x v="1"/>
    <m/>
    <m/>
    <m/>
    <x v="5"/>
    <m/>
    <m/>
    <m/>
    <m/>
    <m/>
    <m/>
    <m/>
    <m/>
    <m/>
    <m/>
    <m/>
    <m/>
    <m/>
    <m/>
    <m/>
    <m/>
  </r>
  <r>
    <m/>
    <x v="1"/>
    <m/>
    <x v="1"/>
    <m/>
    <m/>
    <m/>
    <x v="5"/>
    <m/>
    <m/>
    <m/>
    <m/>
    <m/>
    <m/>
    <m/>
    <m/>
    <m/>
    <m/>
    <m/>
    <m/>
    <m/>
    <m/>
    <m/>
    <m/>
  </r>
  <r>
    <m/>
    <x v="1"/>
    <m/>
    <x v="1"/>
    <m/>
    <m/>
    <m/>
    <x v="5"/>
    <m/>
    <m/>
    <m/>
    <m/>
    <m/>
    <m/>
    <m/>
    <m/>
    <m/>
    <m/>
    <m/>
    <m/>
    <m/>
    <m/>
    <m/>
    <m/>
  </r>
  <r>
    <m/>
    <x v="1"/>
    <m/>
    <x v="1"/>
    <m/>
    <m/>
    <m/>
    <x v="5"/>
    <m/>
    <m/>
    <m/>
    <m/>
    <m/>
    <m/>
    <m/>
    <m/>
    <m/>
    <m/>
    <m/>
    <m/>
    <m/>
    <m/>
    <m/>
    <m/>
  </r>
  <r>
    <m/>
    <x v="1"/>
    <m/>
    <x v="1"/>
    <m/>
    <m/>
    <m/>
    <x v="5"/>
    <m/>
    <m/>
    <m/>
    <m/>
    <m/>
    <m/>
    <m/>
    <m/>
    <m/>
    <m/>
    <m/>
    <m/>
    <m/>
    <m/>
    <m/>
    <m/>
  </r>
  <r>
    <m/>
    <x v="1"/>
    <m/>
    <x v="1"/>
    <m/>
    <m/>
    <m/>
    <x v="5"/>
    <m/>
    <m/>
    <m/>
    <m/>
    <m/>
    <m/>
    <m/>
    <m/>
    <m/>
    <m/>
    <m/>
    <m/>
    <m/>
    <m/>
    <m/>
    <m/>
  </r>
  <r>
    <m/>
    <x v="1"/>
    <m/>
    <x v="1"/>
    <m/>
    <m/>
    <m/>
    <x v="5"/>
    <m/>
    <m/>
    <m/>
    <m/>
    <m/>
    <m/>
    <m/>
    <m/>
    <m/>
    <m/>
    <m/>
    <m/>
    <m/>
    <m/>
    <m/>
    <m/>
  </r>
  <r>
    <m/>
    <x v="1"/>
    <m/>
    <x v="1"/>
    <m/>
    <m/>
    <m/>
    <x v="5"/>
    <m/>
    <m/>
    <m/>
    <m/>
    <m/>
    <m/>
    <m/>
    <m/>
    <m/>
    <m/>
    <m/>
    <m/>
    <m/>
    <m/>
    <m/>
    <m/>
  </r>
  <r>
    <m/>
    <x v="1"/>
    <m/>
    <x v="1"/>
    <m/>
    <m/>
    <m/>
    <x v="5"/>
    <m/>
    <m/>
    <m/>
    <m/>
    <m/>
    <m/>
    <m/>
    <m/>
    <m/>
    <m/>
    <m/>
    <m/>
    <m/>
    <m/>
    <m/>
    <m/>
  </r>
  <r>
    <m/>
    <x v="1"/>
    <m/>
    <x v="1"/>
    <m/>
    <m/>
    <m/>
    <x v="5"/>
    <m/>
    <m/>
    <m/>
    <m/>
    <m/>
    <m/>
    <m/>
    <m/>
    <m/>
    <m/>
    <m/>
    <m/>
    <m/>
    <m/>
    <m/>
    <m/>
  </r>
  <r>
    <m/>
    <x v="1"/>
    <m/>
    <x v="1"/>
    <m/>
    <m/>
    <m/>
    <x v="5"/>
    <m/>
    <m/>
    <m/>
    <m/>
    <m/>
    <m/>
    <m/>
    <m/>
    <m/>
    <m/>
    <m/>
    <m/>
    <m/>
    <m/>
    <m/>
    <m/>
  </r>
  <r>
    <m/>
    <x v="1"/>
    <m/>
    <x v="1"/>
    <m/>
    <m/>
    <m/>
    <x v="5"/>
    <m/>
    <m/>
    <m/>
    <m/>
    <m/>
    <m/>
    <m/>
    <m/>
    <m/>
    <m/>
    <m/>
    <m/>
    <m/>
    <m/>
    <m/>
    <m/>
  </r>
  <r>
    <m/>
    <x v="1"/>
    <m/>
    <x v="1"/>
    <m/>
    <m/>
    <m/>
    <x v="5"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4" cacheId="0" applyNumberFormats="0" applyBorderFormats="0" applyFontFormats="0" applyPatternFormats="0" applyAlignmentFormats="0" applyWidthHeightFormats="1" dataCaption="Dados" updatedVersion="4" minRefreshableVersion="3" showMemberPropertyTips="0" useAutoFormatting="1" itemPrintTitles="1" createdVersion="4" indent="0" compact="0" compactData="0" gridDropZones="1" chartFormat="1">
  <location ref="A3:C10" firstHeaderRow="1" firstDataRow="2" firstDataCol="1" rowPageCount="1" colPageCount="1"/>
  <pivotFields count="24">
    <pivotField dataField="1" compact="0" outline="0" subtotalTop="0" showAll="0" includeNewItemsInFilter="1"/>
    <pivotField axis="axisPage" compact="0" outline="0" subtotalTop="0" showAll="0" includeNewItemsInFilter="1">
      <items count="3">
        <item x="0"/>
        <item x="1"/>
        <item t="default"/>
      </items>
    </pivotField>
    <pivotField compact="0" outline="0" subtotalTop="0" showAll="0" includeNewItemsInFilter="1"/>
    <pivotField axis="axisCol" compact="0" outline="0" subtotalTop="0" showAll="0" includeNewItemsInFilter="1">
      <items count="3">
        <item x="0"/>
        <item x="1"/>
        <item t="default"/>
      </items>
    </pivotField>
    <pivotField compact="0" outline="0" subtotalTop="0" showAll="0" includeNewItemsInFilter="1"/>
    <pivotField compact="0" outline="0" showAll="0" defaultSubtotal="0"/>
    <pivotField compact="0" outline="0" subtotalTop="0" showAll="0" includeNewItemsInFilter="1"/>
    <pivotField axis="axisRow" compact="0" outline="0" subtotalTop="0" showAll="0" includeNewItemsInFilter="1">
      <items count="7">
        <item x="4"/>
        <item x="3"/>
        <item h="1" x="5"/>
        <item x="0"/>
        <item x="1"/>
        <item x="2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howAll="0" defaultSubtotal="0"/>
    <pivotField compact="0" outline="0" subtotalTop="0" showAll="0" includeNewItemsInFilter="1"/>
    <pivotField compact="0" outline="0" subtotalTop="0" showAll="0" includeNewItemsInFilter="1"/>
    <pivotField compact="0" outline="0" showAll="0" defaultSubtotal="0"/>
    <pivotField compact="0" outline="0" subtotalTop="0" showAll="0" includeNewItemsInFilter="1" defaultSubtotal="0"/>
    <pivotField compact="0" outline="0" showAll="0" defaultSubtotal="0"/>
    <pivotField compact="0" outline="0" subtotalTop="0" showAll="0" includeNewItemsInFilter="1"/>
    <pivotField compact="0" outline="0" subtotalTop="0" showAll="0" includeNewItemsInFilter="1"/>
    <pivotField compact="0" outline="0" showAll="0" defaultSubtotal="0"/>
    <pivotField compact="0" outline="0" subtotalTop="0" showAll="0" includeNewItemsInFilter="1"/>
    <pivotField compact="0" outline="0" showAll="0" defaultSubtotal="0"/>
    <pivotField compact="0" outline="0" subtotalTop="0" showAll="0" includeNewItemsInFilter="1"/>
    <pivotField compact="0" outline="0" subtotalTop="0" showAll="0" includeNewItemsInFilter="1"/>
  </pivotFields>
  <rowFields count="1">
    <field x="7"/>
  </rowFields>
  <rowItems count="6">
    <i>
      <x/>
    </i>
    <i>
      <x v="1"/>
    </i>
    <i>
      <x v="3"/>
    </i>
    <i>
      <x v="4"/>
    </i>
    <i>
      <x v="5"/>
    </i>
    <i t="grand">
      <x/>
    </i>
  </rowItems>
  <colFields count="1">
    <field x="3"/>
  </colFields>
  <colItems count="2">
    <i>
      <x/>
    </i>
    <i t="grand">
      <x/>
    </i>
  </colItems>
  <pageFields count="1">
    <pageField fld="1" hier="0"/>
  </pageFields>
  <dataFields count="1">
    <dataField name="Contagem de CÓD." fld="0" subtotal="count" baseField="0" baseItem="0"/>
  </dataFields>
  <chartFormats count="7"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0" format="10">
      <pivotArea type="data" outline="0" fieldPosition="0">
        <references count="3">
          <reference field="4294967294" count="1" selected="0">
            <x v="0"/>
          </reference>
          <reference field="3" count="1" selected="0">
            <x v="0"/>
          </reference>
          <reference field="7" count="1" selected="0">
            <x v="0"/>
          </reference>
        </references>
      </pivotArea>
    </chartFormat>
    <chartFormat chart="0" format="11">
      <pivotArea type="data" outline="0" fieldPosition="0">
        <references count="3">
          <reference field="4294967294" count="1" selected="0">
            <x v="0"/>
          </reference>
          <reference field="3" count="1" selected="0">
            <x v="0"/>
          </reference>
          <reference field="7" count="1" selected="0">
            <x v="1"/>
          </reference>
        </references>
      </pivotArea>
    </chartFormat>
    <chartFormat chart="0" format="12">
      <pivotArea type="data" outline="0" fieldPosition="0">
        <references count="3">
          <reference field="4294967294" count="1" selected="0">
            <x v="0"/>
          </reference>
          <reference field="3" count="1" selected="0">
            <x v="0"/>
          </reference>
          <reference field="7" count="1" selected="0">
            <x v="3"/>
          </reference>
        </references>
      </pivotArea>
    </chartFormat>
    <chartFormat chart="0" format="13">
      <pivotArea type="data" outline="0" fieldPosition="0">
        <references count="3">
          <reference field="4294967294" count="1" selected="0">
            <x v="0"/>
          </reference>
          <reference field="3" count="1" selected="0">
            <x v="0"/>
          </reference>
          <reference field="7" count="1" selected="0">
            <x v="4"/>
          </reference>
        </references>
      </pivotArea>
    </chartFormat>
    <chartFormat chart="0" format="14">
      <pivotArea type="data" outline="0" fieldPosition="0">
        <references count="3">
          <reference field="4294967294" count="1" selected="0">
            <x v="0"/>
          </reference>
          <reference field="3" count="1" selected="0">
            <x v="0"/>
          </reference>
          <reference field="7" count="1" selected="0">
            <x v="5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</chartFormats>
  <pivotTableStyleInfo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printerSettings" Target="../printerSettings/printerSettings5.bin"/><Relationship Id="rId4" Type="http://schemas.openxmlformats.org/officeDocument/2006/relationships/printerSettings" Target="../printerSettings/printerSettings4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pageSetUpPr fitToPage="1"/>
  </sheetPr>
  <dimension ref="B1:AA48"/>
  <sheetViews>
    <sheetView showGridLines="0" tabSelected="1" zoomScale="90" zoomScaleNormal="90" workbookViewId="0">
      <selection activeCell="J12" sqref="J12"/>
    </sheetView>
  </sheetViews>
  <sheetFormatPr defaultColWidth="9.140625" defaultRowHeight="12.75" x14ac:dyDescent="0.2"/>
  <cols>
    <col min="1" max="1" width="2.7109375" style="12" customWidth="1"/>
    <col min="2" max="2" width="12" style="15" customWidth="1"/>
    <col min="3" max="3" width="10.28515625" style="14" customWidth="1"/>
    <col min="4" max="4" width="10.5703125" style="14" customWidth="1"/>
    <col min="5" max="5" width="10.42578125" style="14" customWidth="1"/>
    <col min="6" max="6" width="15.42578125" style="14" hidden="1" customWidth="1"/>
    <col min="7" max="7" width="14.28515625" style="15" customWidth="1"/>
    <col min="8" max="8" width="26.42578125" style="15" hidden="1" customWidth="1"/>
    <col min="9" max="9" width="12.85546875" style="15" customWidth="1"/>
    <col min="10" max="10" width="74" style="15" customWidth="1"/>
    <col min="11" max="11" width="21.28515625" style="16" customWidth="1"/>
    <col min="12" max="12" width="20.85546875" style="16" customWidth="1"/>
    <col min="13" max="13" width="52.7109375" style="16" bestFit="1" customWidth="1"/>
    <col min="14" max="14" width="21.5703125" style="16" bestFit="1" customWidth="1"/>
    <col min="15" max="15" width="16.7109375" style="15" bestFit="1" customWidth="1"/>
    <col min="16" max="16" width="21.28515625" style="16" bestFit="1" customWidth="1"/>
    <col min="17" max="17" width="12.7109375" style="16" bestFit="1" customWidth="1"/>
    <col min="18" max="18" width="18.28515625" style="16" bestFit="1" customWidth="1"/>
    <col min="19" max="19" width="24.7109375" style="16" bestFit="1" customWidth="1"/>
    <col min="20" max="21" width="25" style="16" bestFit="1" customWidth="1"/>
    <col min="22" max="22" width="16.140625" style="16" bestFit="1" customWidth="1"/>
    <col min="23" max="23" width="15.7109375" style="16" bestFit="1" customWidth="1"/>
    <col min="24" max="24" width="16" style="16" bestFit="1" customWidth="1"/>
    <col min="25" max="25" width="19.7109375" style="16" bestFit="1" customWidth="1"/>
    <col min="26" max="26" width="18" style="12" bestFit="1" customWidth="1"/>
    <col min="27" max="27" width="6.28515625" style="12" bestFit="1" customWidth="1"/>
    <col min="28" max="16384" width="9.140625" style="12"/>
  </cols>
  <sheetData>
    <row r="1" spans="2:27" s="6" customFormat="1" ht="25.5" x14ac:dyDescent="0.2">
      <c r="B1" s="41" t="s">
        <v>60</v>
      </c>
      <c r="C1" s="42"/>
      <c r="D1" s="42"/>
      <c r="E1" s="42"/>
      <c r="F1" s="42"/>
      <c r="G1" s="42"/>
      <c r="H1" s="42"/>
      <c r="I1" s="42"/>
      <c r="J1" s="43"/>
      <c r="K1" s="2"/>
      <c r="L1" s="2"/>
      <c r="M1" s="2"/>
      <c r="N1" s="2"/>
      <c r="O1" s="2"/>
      <c r="P1" s="2"/>
      <c r="Q1" s="2"/>
      <c r="R1" s="2"/>
      <c r="S1" s="2"/>
      <c r="T1" s="2"/>
      <c r="U1" s="3"/>
      <c r="V1" s="3"/>
      <c r="W1" s="4"/>
      <c r="X1" s="2"/>
      <c r="Y1" s="2"/>
      <c r="Z1" s="2"/>
      <c r="AA1" s="5"/>
    </row>
    <row r="2" spans="2:27" s="6" customFormat="1" ht="25.5" x14ac:dyDescent="0.2">
      <c r="B2" s="2" t="s">
        <v>23</v>
      </c>
      <c r="C2" s="2" t="s">
        <v>24</v>
      </c>
      <c r="D2" s="2" t="s">
        <v>25</v>
      </c>
      <c r="E2" s="2" t="s">
        <v>26</v>
      </c>
      <c r="F2" s="2" t="s">
        <v>27</v>
      </c>
      <c r="G2" s="2" t="s">
        <v>22</v>
      </c>
      <c r="H2" s="2" t="s">
        <v>21</v>
      </c>
      <c r="I2" s="2" t="s">
        <v>20</v>
      </c>
      <c r="J2" s="2" t="s">
        <v>19</v>
      </c>
      <c r="K2" s="2" t="s">
        <v>41</v>
      </c>
      <c r="L2" s="2" t="s">
        <v>58</v>
      </c>
      <c r="M2" s="2" t="s">
        <v>38</v>
      </c>
      <c r="N2" s="2" t="s">
        <v>37</v>
      </c>
      <c r="O2" s="2" t="s">
        <v>43</v>
      </c>
      <c r="P2" s="2" t="s">
        <v>36</v>
      </c>
      <c r="Q2" s="2" t="s">
        <v>35</v>
      </c>
      <c r="R2" s="2" t="s">
        <v>39</v>
      </c>
      <c r="S2" s="2" t="s">
        <v>40</v>
      </c>
      <c r="T2" s="2" t="s">
        <v>28</v>
      </c>
      <c r="U2" s="3" t="s">
        <v>29</v>
      </c>
      <c r="V2" s="3" t="s">
        <v>30</v>
      </c>
      <c r="W2" s="4" t="s">
        <v>31</v>
      </c>
      <c r="X2" s="2" t="s">
        <v>32</v>
      </c>
      <c r="Y2" s="2" t="s">
        <v>33</v>
      </c>
      <c r="Z2" s="2" t="s">
        <v>34</v>
      </c>
      <c r="AA2" s="5"/>
    </row>
    <row r="3" spans="2:27" ht="22.5" x14ac:dyDescent="0.2">
      <c r="B3" s="35" t="s">
        <v>44</v>
      </c>
      <c r="C3" s="8">
        <v>0</v>
      </c>
      <c r="D3" s="8">
        <v>0</v>
      </c>
      <c r="E3" s="36" t="s">
        <v>46</v>
      </c>
      <c r="F3" s="9"/>
      <c r="G3" s="8" t="s">
        <v>42</v>
      </c>
      <c r="H3" s="8"/>
      <c r="I3" s="36" t="s">
        <v>55</v>
      </c>
      <c r="J3" s="9" t="s">
        <v>49</v>
      </c>
      <c r="K3" s="8">
        <v>4</v>
      </c>
      <c r="L3" s="40"/>
      <c r="M3" s="9" t="s">
        <v>56</v>
      </c>
      <c r="N3" s="9"/>
      <c r="O3" s="8"/>
      <c r="P3" s="8" t="s">
        <v>51</v>
      </c>
      <c r="Q3" s="8" t="s">
        <v>59</v>
      </c>
      <c r="R3" s="10"/>
      <c r="S3" s="8"/>
      <c r="T3" s="10"/>
      <c r="U3" s="10"/>
      <c r="V3" s="10"/>
      <c r="W3" s="10"/>
      <c r="X3" s="10"/>
      <c r="Y3" s="11"/>
      <c r="Z3" s="8"/>
    </row>
    <row r="4" spans="2:27" ht="22.5" x14ac:dyDescent="0.2">
      <c r="B4" s="35" t="s">
        <v>45</v>
      </c>
      <c r="C4" s="8">
        <v>0</v>
      </c>
      <c r="D4" s="8">
        <v>0</v>
      </c>
      <c r="E4" s="36" t="s">
        <v>46</v>
      </c>
      <c r="F4" s="9"/>
      <c r="G4" s="8" t="s">
        <v>42</v>
      </c>
      <c r="H4" s="8"/>
      <c r="I4" s="36" t="s">
        <v>55</v>
      </c>
      <c r="J4" s="9" t="s">
        <v>50</v>
      </c>
      <c r="K4" s="8">
        <v>4</v>
      </c>
      <c r="L4" s="40"/>
      <c r="M4" s="9" t="s">
        <v>57</v>
      </c>
      <c r="N4" s="9"/>
      <c r="O4" s="8"/>
      <c r="P4" s="8" t="s">
        <v>52</v>
      </c>
      <c r="Q4" s="8" t="s">
        <v>59</v>
      </c>
      <c r="R4" s="10"/>
      <c r="S4" s="8"/>
      <c r="T4" s="10"/>
      <c r="U4" s="10"/>
      <c r="V4" s="10"/>
      <c r="W4" s="10"/>
      <c r="X4" s="10"/>
      <c r="Y4" s="11"/>
      <c r="Z4" s="8"/>
    </row>
    <row r="5" spans="2:27" x14ac:dyDescent="0.2">
      <c r="B5" s="35"/>
      <c r="C5" s="8"/>
      <c r="D5" s="8"/>
      <c r="E5" s="36"/>
      <c r="F5" s="9"/>
      <c r="G5" s="8"/>
      <c r="H5" s="8"/>
      <c r="I5" s="36"/>
      <c r="J5" s="9"/>
      <c r="K5" s="8"/>
      <c r="L5" s="40"/>
      <c r="M5" s="9"/>
      <c r="N5" s="9"/>
      <c r="O5" s="8"/>
      <c r="P5" s="8"/>
      <c r="Q5" s="8"/>
      <c r="R5" s="8"/>
      <c r="S5" s="8"/>
      <c r="T5" s="8"/>
      <c r="U5" s="8"/>
      <c r="V5" s="8"/>
      <c r="W5" s="8"/>
      <c r="X5" s="10"/>
      <c r="Y5" s="11"/>
      <c r="Z5" s="13"/>
    </row>
    <row r="6" spans="2:27" x14ac:dyDescent="0.2">
      <c r="B6" s="7"/>
      <c r="C6" s="8"/>
      <c r="D6" s="8"/>
      <c r="E6" s="8"/>
      <c r="F6" s="9"/>
      <c r="G6" s="8"/>
      <c r="H6" s="8"/>
      <c r="I6" s="8"/>
      <c r="J6" s="9"/>
      <c r="K6" s="8"/>
      <c r="L6" s="40"/>
      <c r="M6" s="9"/>
      <c r="N6" s="9"/>
      <c r="O6" s="8"/>
      <c r="P6" s="8"/>
      <c r="Q6" s="8"/>
      <c r="R6" s="8"/>
      <c r="S6" s="8"/>
      <c r="T6" s="8"/>
      <c r="U6" s="8"/>
      <c r="V6" s="8"/>
      <c r="W6" s="8"/>
      <c r="X6" s="10"/>
      <c r="Y6" s="11"/>
      <c r="Z6" s="13"/>
    </row>
    <row r="7" spans="2:27" x14ac:dyDescent="0.2">
      <c r="B7" s="38"/>
      <c r="C7" s="8"/>
      <c r="D7" s="8"/>
      <c r="E7" s="8"/>
      <c r="F7" s="9"/>
      <c r="G7" s="8"/>
      <c r="H7" s="8"/>
      <c r="I7" s="8"/>
      <c r="J7" s="9"/>
      <c r="K7" s="8"/>
      <c r="L7" s="40"/>
      <c r="M7" s="9"/>
      <c r="N7" s="9"/>
      <c r="O7" s="8"/>
      <c r="P7" s="8"/>
      <c r="Q7" s="8"/>
      <c r="R7" s="10"/>
      <c r="S7" s="8"/>
      <c r="T7" s="10"/>
      <c r="U7" s="10"/>
      <c r="V7" s="10"/>
      <c r="W7" s="10"/>
      <c r="X7" s="10"/>
      <c r="Y7" s="11"/>
      <c r="Z7" s="8"/>
    </row>
    <row r="8" spans="2:27" x14ac:dyDescent="0.2">
      <c r="B8" s="38"/>
      <c r="C8" s="8"/>
      <c r="D8" s="8"/>
      <c r="E8" s="8"/>
      <c r="F8" s="9"/>
      <c r="G8" s="8"/>
      <c r="H8" s="8"/>
      <c r="I8" s="8"/>
      <c r="J8" s="9"/>
      <c r="K8" s="8"/>
      <c r="L8" s="40"/>
      <c r="M8" s="9"/>
      <c r="N8" s="9"/>
      <c r="O8" s="8"/>
      <c r="P8" s="8"/>
      <c r="Q8" s="8"/>
      <c r="R8" s="10"/>
      <c r="S8" s="8"/>
      <c r="T8" s="10"/>
      <c r="U8" s="10"/>
      <c r="V8" s="10"/>
      <c r="W8" s="10"/>
      <c r="X8" s="10"/>
      <c r="Y8" s="11"/>
      <c r="Z8" s="8"/>
    </row>
    <row r="9" spans="2:27" x14ac:dyDescent="0.2">
      <c r="B9" s="38"/>
      <c r="C9" s="8"/>
      <c r="D9" s="8"/>
      <c r="E9" s="8"/>
      <c r="F9" s="9"/>
      <c r="G9" s="8"/>
      <c r="H9" s="8"/>
      <c r="I9" s="8"/>
      <c r="J9" s="9"/>
      <c r="K9" s="8"/>
      <c r="L9" s="40"/>
      <c r="M9" s="9"/>
      <c r="N9" s="9"/>
      <c r="O9" s="8"/>
      <c r="P9" s="8"/>
      <c r="Q9" s="8"/>
      <c r="R9" s="10"/>
      <c r="S9" s="8"/>
      <c r="T9" s="10"/>
      <c r="U9" s="10"/>
      <c r="V9" s="10"/>
      <c r="W9" s="10"/>
      <c r="X9" s="10"/>
      <c r="Y9" s="11"/>
      <c r="Z9" s="8"/>
    </row>
    <row r="10" spans="2:27" x14ac:dyDescent="0.2">
      <c r="B10" s="7"/>
      <c r="C10" s="8"/>
      <c r="D10" s="8"/>
      <c r="E10" s="8"/>
      <c r="F10" s="9"/>
      <c r="G10" s="8"/>
      <c r="H10" s="8"/>
      <c r="I10" s="8"/>
      <c r="J10" s="9"/>
      <c r="K10" s="8"/>
      <c r="L10" s="39"/>
      <c r="M10" s="9"/>
      <c r="N10" s="9"/>
      <c r="O10" s="8"/>
      <c r="P10" s="8"/>
      <c r="Q10" s="8"/>
      <c r="R10" s="10"/>
      <c r="S10" s="8"/>
      <c r="T10" s="10"/>
      <c r="U10" s="10"/>
      <c r="V10" s="10"/>
      <c r="W10" s="10"/>
      <c r="X10" s="10"/>
      <c r="Y10" s="11"/>
      <c r="Z10" s="8"/>
    </row>
    <row r="11" spans="2:27" x14ac:dyDescent="0.2">
      <c r="B11" s="7"/>
      <c r="C11" s="8"/>
      <c r="D11" s="8"/>
      <c r="E11" s="8"/>
      <c r="F11" s="9"/>
      <c r="G11" s="8"/>
      <c r="H11" s="8"/>
      <c r="I11" s="8"/>
      <c r="J11" s="9"/>
      <c r="K11" s="8"/>
      <c r="L11" s="39"/>
      <c r="M11" s="9"/>
      <c r="N11" s="9"/>
      <c r="O11" s="8"/>
      <c r="P11" s="8"/>
      <c r="Q11" s="8"/>
      <c r="R11" s="10"/>
      <c r="S11" s="8"/>
      <c r="T11" s="10"/>
      <c r="U11" s="8"/>
      <c r="V11" s="10"/>
      <c r="W11" s="10"/>
      <c r="X11" s="10"/>
      <c r="Y11" s="11"/>
      <c r="Z11" s="8"/>
    </row>
    <row r="12" spans="2:27" x14ac:dyDescent="0.2">
      <c r="B12" s="33"/>
      <c r="C12" s="8"/>
      <c r="D12" s="8"/>
      <c r="E12" s="8"/>
      <c r="F12" s="9"/>
      <c r="G12" s="8"/>
      <c r="H12" s="8"/>
      <c r="I12" s="8"/>
      <c r="J12" s="9"/>
      <c r="K12" s="8"/>
      <c r="L12" s="40"/>
      <c r="M12" s="9"/>
      <c r="N12" s="9"/>
      <c r="O12" s="8"/>
      <c r="P12" s="8"/>
      <c r="Q12" s="8"/>
      <c r="R12" s="10"/>
      <c r="S12" s="8"/>
      <c r="T12" s="10"/>
      <c r="U12" s="10"/>
      <c r="V12" s="10"/>
      <c r="W12" s="10"/>
      <c r="X12" s="10"/>
      <c r="Y12" s="11"/>
      <c r="Z12" s="8"/>
    </row>
    <row r="13" spans="2:27" x14ac:dyDescent="0.2">
      <c r="B13" s="7"/>
      <c r="C13" s="8"/>
      <c r="D13" s="8"/>
      <c r="E13" s="8"/>
      <c r="F13" s="9"/>
      <c r="G13" s="8"/>
      <c r="H13" s="8"/>
      <c r="I13" s="8"/>
      <c r="J13" s="9"/>
      <c r="K13" s="8"/>
      <c r="L13" s="40"/>
      <c r="M13" s="37"/>
      <c r="N13" s="9"/>
      <c r="O13" s="8"/>
      <c r="P13" s="8"/>
      <c r="Q13" s="8"/>
      <c r="R13" s="8"/>
      <c r="S13" s="8"/>
      <c r="T13" s="8"/>
      <c r="U13" s="8"/>
      <c r="V13" s="8"/>
      <c r="W13" s="8"/>
      <c r="X13" s="10"/>
      <c r="Y13" s="11"/>
      <c r="Z13" s="8"/>
    </row>
    <row r="14" spans="2:27" x14ac:dyDescent="0.2">
      <c r="B14" s="7"/>
      <c r="C14" s="8"/>
      <c r="D14" s="8"/>
      <c r="E14" s="8"/>
      <c r="F14" s="9"/>
      <c r="G14" s="8"/>
      <c r="H14" s="8"/>
      <c r="I14" s="8"/>
      <c r="J14" s="9"/>
      <c r="K14" s="8"/>
      <c r="L14" s="40"/>
      <c r="M14" s="9"/>
      <c r="N14" s="9"/>
      <c r="O14" s="8"/>
      <c r="P14" s="8"/>
      <c r="Q14" s="8"/>
      <c r="R14" s="8"/>
      <c r="S14" s="8"/>
      <c r="T14" s="8"/>
      <c r="U14" s="8"/>
      <c r="V14" s="8"/>
      <c r="W14" s="8"/>
      <c r="X14" s="10"/>
      <c r="Y14" s="11"/>
      <c r="Z14" s="13"/>
    </row>
    <row r="15" spans="2:27" x14ac:dyDescent="0.2">
      <c r="B15" s="7"/>
      <c r="C15" s="8"/>
      <c r="D15" s="8"/>
      <c r="E15" s="8"/>
      <c r="F15" s="9"/>
      <c r="G15" s="8"/>
      <c r="H15" s="8"/>
      <c r="I15" s="8"/>
      <c r="J15" s="9"/>
      <c r="K15" s="8"/>
      <c r="L15" s="40"/>
      <c r="M15" s="9"/>
      <c r="N15" s="9"/>
      <c r="O15" s="8"/>
      <c r="P15" s="8"/>
      <c r="Q15" s="8"/>
      <c r="R15" s="8"/>
      <c r="S15" s="8"/>
      <c r="T15" s="8"/>
      <c r="U15" s="8"/>
      <c r="V15" s="8"/>
      <c r="W15" s="8"/>
      <c r="X15" s="10"/>
      <c r="Y15" s="11"/>
      <c r="Z15" s="13"/>
    </row>
    <row r="16" spans="2:27" x14ac:dyDescent="0.2">
      <c r="B16" s="38"/>
      <c r="C16" s="8"/>
      <c r="D16" s="8"/>
      <c r="E16" s="8"/>
      <c r="F16" s="9"/>
      <c r="G16" s="8"/>
      <c r="H16" s="8"/>
      <c r="I16" s="8"/>
      <c r="J16" s="9"/>
      <c r="K16" s="8"/>
      <c r="L16" s="40"/>
      <c r="M16" s="9"/>
      <c r="N16" s="9"/>
      <c r="O16" s="8"/>
      <c r="P16" s="8"/>
      <c r="Q16" s="8"/>
      <c r="R16" s="10"/>
      <c r="S16" s="8"/>
      <c r="T16" s="10"/>
      <c r="U16" s="10"/>
      <c r="V16" s="10"/>
      <c r="W16" s="10"/>
      <c r="X16" s="10"/>
      <c r="Y16" s="11"/>
      <c r="Z16" s="8"/>
    </row>
    <row r="17" spans="2:26" x14ac:dyDescent="0.2">
      <c r="B17" s="38"/>
      <c r="C17" s="8"/>
      <c r="D17" s="8"/>
      <c r="E17" s="8"/>
      <c r="F17" s="9"/>
      <c r="G17" s="8"/>
      <c r="H17" s="8"/>
      <c r="I17" s="8"/>
      <c r="J17" s="9"/>
      <c r="K17" s="8"/>
      <c r="L17" s="40"/>
      <c r="M17" s="9"/>
      <c r="N17" s="9"/>
      <c r="O17" s="8"/>
      <c r="P17" s="8"/>
      <c r="Q17" s="8"/>
      <c r="R17" s="10"/>
      <c r="S17" s="8"/>
      <c r="T17" s="10"/>
      <c r="U17" s="10"/>
      <c r="V17" s="10"/>
      <c r="W17" s="10"/>
      <c r="X17" s="10"/>
      <c r="Y17" s="11"/>
      <c r="Z17" s="8"/>
    </row>
    <row r="18" spans="2:26" x14ac:dyDescent="0.2">
      <c r="B18" s="38"/>
      <c r="C18" s="8"/>
      <c r="D18" s="8"/>
      <c r="E18" s="8"/>
      <c r="F18" s="9"/>
      <c r="G18" s="8"/>
      <c r="H18" s="8"/>
      <c r="I18" s="8"/>
      <c r="J18" s="9"/>
      <c r="K18" s="8"/>
      <c r="L18" s="40"/>
      <c r="M18" s="9"/>
      <c r="N18" s="9"/>
      <c r="O18" s="8"/>
      <c r="P18" s="8"/>
      <c r="Q18" s="8"/>
      <c r="R18" s="10"/>
      <c r="S18" s="8"/>
      <c r="T18" s="10"/>
      <c r="U18" s="10"/>
      <c r="V18" s="10"/>
      <c r="W18" s="10"/>
      <c r="X18" s="10"/>
      <c r="Y18" s="11"/>
      <c r="Z18" s="8"/>
    </row>
    <row r="19" spans="2:26" x14ac:dyDescent="0.2">
      <c r="B19" s="38"/>
      <c r="C19" s="8"/>
      <c r="D19" s="8"/>
      <c r="E19" s="8"/>
      <c r="F19" s="9"/>
      <c r="G19" s="8"/>
      <c r="H19" s="8"/>
      <c r="I19" s="8"/>
      <c r="J19" s="9"/>
      <c r="K19" s="8"/>
      <c r="L19" s="40"/>
      <c r="M19" s="9"/>
      <c r="N19" s="9"/>
      <c r="O19" s="8"/>
      <c r="P19" s="8"/>
      <c r="Q19" s="8"/>
      <c r="R19" s="10"/>
      <c r="S19" s="8"/>
      <c r="T19" s="10"/>
      <c r="U19" s="10"/>
      <c r="V19" s="10"/>
      <c r="W19" s="10"/>
      <c r="X19" s="10"/>
      <c r="Y19" s="11"/>
      <c r="Z19" s="8"/>
    </row>
    <row r="20" spans="2:26" x14ac:dyDescent="0.2">
      <c r="B20" s="33"/>
      <c r="C20" s="8"/>
      <c r="D20" s="8"/>
      <c r="E20" s="8"/>
      <c r="F20" s="9"/>
      <c r="G20" s="8"/>
      <c r="H20" s="8"/>
      <c r="I20" s="8"/>
      <c r="J20" s="9"/>
      <c r="K20" s="8"/>
      <c r="L20" s="40"/>
      <c r="M20" s="9"/>
      <c r="N20" s="9"/>
      <c r="O20" s="8"/>
      <c r="P20" s="8"/>
      <c r="Q20" s="8"/>
      <c r="R20" s="8"/>
      <c r="S20" s="8"/>
      <c r="T20" s="8"/>
      <c r="U20" s="8"/>
      <c r="V20" s="8"/>
      <c r="W20" s="8"/>
      <c r="X20" s="10"/>
      <c r="Y20" s="11"/>
      <c r="Z20" s="13"/>
    </row>
    <row r="21" spans="2:26" x14ac:dyDescent="0.2">
      <c r="B21" s="7"/>
      <c r="C21" s="8"/>
      <c r="D21" s="8"/>
      <c r="E21" s="8"/>
      <c r="F21" s="9"/>
      <c r="G21" s="8"/>
      <c r="H21" s="8"/>
      <c r="I21" s="8"/>
      <c r="J21" s="9"/>
      <c r="K21" s="8"/>
      <c r="L21" s="40"/>
      <c r="M21" s="9"/>
      <c r="N21" s="9"/>
      <c r="O21" s="8"/>
      <c r="P21" s="8"/>
      <c r="Q21" s="8"/>
      <c r="R21" s="8"/>
      <c r="S21" s="8"/>
      <c r="T21" s="8"/>
      <c r="U21" s="8"/>
      <c r="V21" s="8"/>
      <c r="W21" s="8"/>
      <c r="X21" s="10"/>
      <c r="Y21" s="11"/>
      <c r="Z21" s="13"/>
    </row>
    <row r="22" spans="2:26" x14ac:dyDescent="0.2">
      <c r="B22" s="7"/>
      <c r="C22" s="8"/>
      <c r="D22" s="8"/>
      <c r="E22" s="8"/>
      <c r="F22" s="9"/>
      <c r="G22" s="8"/>
      <c r="H22" s="8"/>
      <c r="I22" s="8"/>
      <c r="J22" s="9"/>
      <c r="K22" s="8"/>
      <c r="L22" s="40"/>
      <c r="M22" s="9"/>
      <c r="N22" s="9"/>
      <c r="O22" s="8"/>
      <c r="P22" s="8"/>
      <c r="Q22" s="8"/>
      <c r="R22" s="8"/>
      <c r="S22" s="8"/>
      <c r="T22" s="8"/>
      <c r="U22" s="8"/>
      <c r="V22" s="8"/>
      <c r="W22" s="8"/>
      <c r="X22" s="10"/>
      <c r="Y22" s="11"/>
      <c r="Z22" s="13"/>
    </row>
    <row r="23" spans="2:26" x14ac:dyDescent="0.2">
      <c r="B23" s="7"/>
      <c r="C23" s="8"/>
      <c r="D23" s="8"/>
      <c r="E23" s="8"/>
      <c r="F23" s="9"/>
      <c r="G23" s="8"/>
      <c r="H23" s="8"/>
      <c r="I23" s="17"/>
      <c r="J23" s="9"/>
      <c r="K23" s="8"/>
      <c r="L23" s="40"/>
      <c r="M23" s="9"/>
      <c r="N23" s="9"/>
      <c r="O23" s="8"/>
      <c r="P23" s="8"/>
      <c r="Q23" s="8"/>
      <c r="R23" s="8"/>
      <c r="S23" s="8"/>
      <c r="T23" s="8"/>
      <c r="U23" s="8"/>
      <c r="V23" s="8"/>
      <c r="W23" s="8"/>
      <c r="X23" s="10"/>
      <c r="Y23" s="11"/>
      <c r="Z23" s="13"/>
    </row>
    <row r="24" spans="2:26" x14ac:dyDescent="0.2">
      <c r="B24" s="7"/>
      <c r="C24" s="8"/>
      <c r="D24" s="8"/>
      <c r="E24" s="8"/>
      <c r="F24" s="9"/>
      <c r="G24" s="8"/>
      <c r="H24" s="8"/>
      <c r="I24" s="8"/>
      <c r="J24" s="9"/>
      <c r="K24" s="8"/>
      <c r="L24" s="40"/>
      <c r="M24" s="9"/>
      <c r="N24" s="9"/>
      <c r="O24" s="8"/>
      <c r="P24" s="8"/>
      <c r="Q24" s="8"/>
      <c r="R24" s="8"/>
      <c r="S24" s="8"/>
      <c r="T24" s="8"/>
      <c r="U24" s="8"/>
      <c r="V24" s="8"/>
      <c r="W24" s="8"/>
      <c r="X24" s="10"/>
      <c r="Y24" s="11"/>
      <c r="Z24" s="13"/>
    </row>
    <row r="25" spans="2:26" x14ac:dyDescent="0.2">
      <c r="B25" s="7"/>
      <c r="C25" s="8"/>
      <c r="D25" s="8"/>
      <c r="E25" s="8"/>
      <c r="F25" s="9"/>
      <c r="G25" s="8"/>
      <c r="H25" s="8"/>
      <c r="I25" s="8"/>
      <c r="J25" s="9"/>
      <c r="K25" s="8"/>
      <c r="L25" s="40"/>
      <c r="M25" s="9"/>
      <c r="N25" s="9"/>
      <c r="O25" s="8"/>
      <c r="P25" s="8"/>
      <c r="Q25" s="8"/>
      <c r="R25" s="10"/>
      <c r="S25" s="8"/>
      <c r="T25" s="10"/>
      <c r="U25" s="10"/>
      <c r="V25" s="10"/>
      <c r="W25" s="10"/>
      <c r="X25" s="10"/>
      <c r="Y25" s="11"/>
      <c r="Z25" s="8"/>
    </row>
    <row r="26" spans="2:26" x14ac:dyDescent="0.2">
      <c r="B26" s="7"/>
      <c r="C26" s="8"/>
      <c r="D26" s="8"/>
      <c r="E26" s="8"/>
      <c r="F26" s="9"/>
      <c r="G26" s="8"/>
      <c r="H26" s="8"/>
      <c r="I26" s="8"/>
      <c r="J26" s="9"/>
      <c r="K26" s="8"/>
      <c r="L26" s="40"/>
      <c r="M26" s="9"/>
      <c r="N26" s="9"/>
      <c r="O26" s="8"/>
      <c r="P26" s="8"/>
      <c r="Q26" s="8"/>
      <c r="R26" s="10"/>
      <c r="S26" s="8"/>
      <c r="T26" s="10"/>
      <c r="U26" s="10"/>
      <c r="V26" s="10"/>
      <c r="W26" s="10"/>
      <c r="X26" s="10"/>
      <c r="Y26" s="11"/>
      <c r="Z26" s="8"/>
    </row>
    <row r="27" spans="2:26" x14ac:dyDescent="0.2">
      <c r="B27" s="7"/>
      <c r="C27" s="8"/>
      <c r="D27" s="8"/>
      <c r="E27" s="8"/>
      <c r="F27" s="9"/>
      <c r="G27" s="8"/>
      <c r="H27" s="8"/>
      <c r="I27" s="8"/>
      <c r="J27" s="9"/>
      <c r="K27" s="8"/>
      <c r="L27" s="40"/>
      <c r="M27" s="9"/>
      <c r="N27" s="9"/>
      <c r="O27" s="8"/>
      <c r="P27" s="8"/>
      <c r="Q27" s="8"/>
      <c r="R27" s="10"/>
      <c r="S27" s="8"/>
      <c r="T27" s="10"/>
      <c r="U27" s="10"/>
      <c r="V27" s="10"/>
      <c r="W27" s="10"/>
      <c r="X27" s="10"/>
      <c r="Y27" s="11"/>
      <c r="Z27" s="8"/>
    </row>
    <row r="28" spans="2:26" x14ac:dyDescent="0.2">
      <c r="B28" s="7"/>
      <c r="C28" s="8"/>
      <c r="D28" s="8"/>
      <c r="E28" s="8"/>
      <c r="F28" s="9"/>
      <c r="G28" s="8"/>
      <c r="H28" s="8"/>
      <c r="I28" s="8"/>
      <c r="J28" s="9"/>
      <c r="K28" s="8"/>
      <c r="L28" s="40"/>
      <c r="M28" s="9"/>
      <c r="N28" s="9"/>
      <c r="O28" s="8"/>
      <c r="P28" s="8"/>
      <c r="Q28" s="8"/>
      <c r="R28" s="8"/>
      <c r="S28" s="8"/>
      <c r="T28" s="8"/>
      <c r="U28" s="8"/>
      <c r="V28" s="8"/>
      <c r="W28" s="8"/>
      <c r="X28" s="10"/>
      <c r="Y28" s="11"/>
      <c r="Z28" s="13"/>
    </row>
    <row r="29" spans="2:26" x14ac:dyDescent="0.2">
      <c r="B29" s="7"/>
      <c r="C29" s="8"/>
      <c r="D29" s="8"/>
      <c r="E29" s="8"/>
      <c r="F29" s="9"/>
      <c r="G29" s="8"/>
      <c r="H29" s="8"/>
      <c r="I29" s="8"/>
      <c r="J29" s="9"/>
      <c r="K29" s="8"/>
      <c r="L29" s="40"/>
      <c r="M29" s="9"/>
      <c r="N29" s="9"/>
      <c r="O29" s="8"/>
      <c r="P29" s="8"/>
      <c r="Q29" s="8"/>
      <c r="R29" s="8"/>
      <c r="S29" s="8"/>
      <c r="T29" s="8"/>
      <c r="U29" s="8"/>
      <c r="V29" s="8"/>
      <c r="W29" s="8"/>
      <c r="X29" s="10"/>
      <c r="Y29" s="11"/>
      <c r="Z29" s="13"/>
    </row>
    <row r="30" spans="2:26" x14ac:dyDescent="0.2">
      <c r="B30" s="7"/>
      <c r="C30" s="8"/>
      <c r="D30" s="8"/>
      <c r="E30" s="8"/>
      <c r="F30" s="9"/>
      <c r="G30" s="8"/>
      <c r="H30" s="8"/>
      <c r="I30" s="8"/>
      <c r="J30" s="9"/>
      <c r="K30" s="8"/>
      <c r="L30" s="40"/>
      <c r="M30" s="9"/>
      <c r="N30" s="9"/>
      <c r="O30" s="8"/>
      <c r="P30" s="8"/>
      <c r="Q30" s="8"/>
      <c r="R30" s="8"/>
      <c r="S30" s="8"/>
      <c r="T30" s="8"/>
      <c r="U30" s="8"/>
      <c r="V30" s="8"/>
      <c r="W30" s="8"/>
      <c r="X30" s="10"/>
      <c r="Y30" s="11"/>
      <c r="Z30" s="13"/>
    </row>
    <row r="31" spans="2:26" x14ac:dyDescent="0.2">
      <c r="B31" s="7"/>
      <c r="C31" s="8"/>
      <c r="D31" s="8"/>
      <c r="E31" s="8"/>
      <c r="F31" s="9"/>
      <c r="G31" s="8"/>
      <c r="H31" s="8"/>
      <c r="I31" s="8"/>
      <c r="J31" s="9"/>
      <c r="K31" s="8"/>
      <c r="L31" s="40"/>
      <c r="M31" s="9"/>
      <c r="N31" s="9"/>
      <c r="O31" s="8"/>
      <c r="P31" s="8"/>
      <c r="Q31" s="8"/>
      <c r="R31" s="8"/>
      <c r="S31" s="8"/>
      <c r="T31" s="8"/>
      <c r="U31" s="8"/>
      <c r="V31" s="8"/>
      <c r="W31" s="8"/>
      <c r="X31" s="10"/>
      <c r="Y31" s="11"/>
      <c r="Z31" s="13"/>
    </row>
    <row r="32" spans="2:26" x14ac:dyDescent="0.2">
      <c r="B32" s="34"/>
      <c r="C32" s="8"/>
      <c r="D32" s="8"/>
      <c r="E32" s="8"/>
      <c r="F32" s="9"/>
      <c r="G32" s="8"/>
      <c r="H32" s="8"/>
      <c r="I32" s="8"/>
      <c r="J32" s="9"/>
      <c r="K32" s="8"/>
      <c r="L32" s="40"/>
      <c r="M32" s="9"/>
      <c r="N32" s="9"/>
      <c r="O32" s="8"/>
      <c r="P32" s="8"/>
      <c r="Q32" s="8"/>
      <c r="R32" s="10"/>
      <c r="S32" s="8"/>
      <c r="T32" s="10"/>
      <c r="U32" s="10"/>
      <c r="V32" s="10"/>
      <c r="W32" s="10"/>
      <c r="X32" s="10"/>
      <c r="Y32" s="11"/>
      <c r="Z32" s="8"/>
    </row>
    <row r="33" spans="2:26" x14ac:dyDescent="0.2">
      <c r="B33" s="7"/>
      <c r="C33" s="8"/>
      <c r="D33" s="8"/>
      <c r="E33" s="8"/>
      <c r="F33" s="9"/>
      <c r="G33" s="8"/>
      <c r="H33" s="8"/>
      <c r="I33" s="8"/>
      <c r="J33" s="9"/>
      <c r="K33" s="8"/>
      <c r="L33" s="8"/>
      <c r="M33" s="9"/>
      <c r="N33" s="9"/>
      <c r="O33" s="8"/>
      <c r="P33" s="8"/>
      <c r="Q33" s="8"/>
      <c r="R33" s="8"/>
      <c r="S33" s="8"/>
      <c r="T33" s="8"/>
      <c r="U33" s="8"/>
      <c r="V33" s="8"/>
      <c r="W33" s="8"/>
      <c r="X33" s="10"/>
      <c r="Y33" s="11"/>
      <c r="Z33" s="13"/>
    </row>
    <row r="34" spans="2:26" x14ac:dyDescent="0.2">
      <c r="B34" s="7"/>
      <c r="C34" s="8"/>
      <c r="D34" s="8"/>
      <c r="E34" s="8"/>
      <c r="F34" s="9"/>
      <c r="G34" s="8"/>
      <c r="H34" s="8"/>
      <c r="I34" s="8"/>
      <c r="J34" s="9"/>
      <c r="K34" s="8"/>
      <c r="L34" s="8"/>
      <c r="M34" s="9"/>
      <c r="N34" s="9"/>
      <c r="O34" s="8"/>
      <c r="P34" s="8"/>
      <c r="Q34" s="8"/>
      <c r="R34" s="8"/>
      <c r="S34" s="8"/>
      <c r="T34" s="8"/>
      <c r="U34" s="8"/>
      <c r="V34" s="8"/>
      <c r="W34" s="8"/>
      <c r="X34" s="10"/>
      <c r="Y34" s="11"/>
      <c r="Z34" s="13"/>
    </row>
    <row r="35" spans="2:26" x14ac:dyDescent="0.2">
      <c r="B35" s="7"/>
      <c r="C35" s="8"/>
      <c r="D35" s="8"/>
      <c r="E35" s="8"/>
      <c r="F35" s="9"/>
      <c r="G35" s="8"/>
      <c r="H35" s="8"/>
      <c r="I35" s="8"/>
      <c r="J35" s="9"/>
      <c r="K35" s="8"/>
      <c r="L35" s="8"/>
      <c r="M35" s="9"/>
      <c r="N35" s="9"/>
      <c r="O35" s="8"/>
      <c r="P35" s="8"/>
      <c r="Q35" s="8"/>
      <c r="R35" s="8"/>
      <c r="S35" s="8"/>
      <c r="T35" s="8"/>
      <c r="U35" s="8"/>
      <c r="V35" s="8"/>
      <c r="W35" s="8"/>
      <c r="X35" s="10"/>
      <c r="Y35" s="11"/>
      <c r="Z35" s="13"/>
    </row>
    <row r="36" spans="2:26" x14ac:dyDescent="0.2">
      <c r="B36" s="7"/>
      <c r="C36" s="8"/>
      <c r="D36" s="8"/>
      <c r="E36" s="8"/>
      <c r="F36" s="9"/>
      <c r="G36" s="8"/>
      <c r="H36" s="8"/>
      <c r="I36" s="8"/>
      <c r="J36" s="9"/>
      <c r="K36" s="8"/>
      <c r="L36" s="8"/>
      <c r="M36" s="9"/>
      <c r="N36" s="9"/>
      <c r="O36" s="8"/>
      <c r="P36" s="8"/>
      <c r="Q36" s="8"/>
      <c r="R36" s="8"/>
      <c r="S36" s="8"/>
      <c r="T36" s="8"/>
      <c r="U36" s="8"/>
      <c r="V36" s="8"/>
      <c r="W36" s="8"/>
      <c r="X36" s="10"/>
      <c r="Y36" s="11"/>
      <c r="Z36" s="13"/>
    </row>
    <row r="37" spans="2:26" x14ac:dyDescent="0.2">
      <c r="B37" s="7"/>
      <c r="C37" s="8"/>
      <c r="D37" s="8"/>
      <c r="E37" s="8"/>
      <c r="F37" s="9"/>
      <c r="G37" s="8"/>
      <c r="H37" s="8"/>
      <c r="I37" s="8"/>
      <c r="J37" s="9"/>
      <c r="K37" s="8"/>
      <c r="L37" s="8"/>
      <c r="M37" s="9"/>
      <c r="N37" s="9"/>
      <c r="O37" s="8"/>
      <c r="P37" s="8"/>
      <c r="Q37" s="8"/>
      <c r="R37" s="8"/>
      <c r="S37" s="8"/>
      <c r="T37" s="8"/>
      <c r="U37" s="8"/>
      <c r="V37" s="8"/>
      <c r="W37" s="8"/>
      <c r="X37" s="10"/>
      <c r="Y37" s="11"/>
      <c r="Z37" s="13"/>
    </row>
    <row r="38" spans="2:26" x14ac:dyDescent="0.2">
      <c r="B38" s="7"/>
      <c r="C38" s="8"/>
      <c r="D38" s="8"/>
      <c r="E38" s="8"/>
      <c r="F38" s="9"/>
      <c r="G38" s="8"/>
      <c r="H38" s="8"/>
      <c r="I38" s="8"/>
      <c r="J38" s="9"/>
      <c r="K38" s="8"/>
      <c r="L38" s="8"/>
      <c r="M38" s="9"/>
      <c r="N38" s="9"/>
      <c r="O38" s="8"/>
      <c r="P38" s="8"/>
      <c r="Q38" s="8"/>
      <c r="R38" s="8"/>
      <c r="S38" s="8"/>
      <c r="T38" s="8"/>
      <c r="U38" s="8"/>
      <c r="V38" s="8"/>
      <c r="W38" s="8"/>
      <c r="X38" s="10"/>
      <c r="Y38" s="11"/>
      <c r="Z38" s="13"/>
    </row>
    <row r="39" spans="2:26" x14ac:dyDescent="0.2">
      <c r="B39" s="7"/>
      <c r="C39" s="8"/>
      <c r="D39" s="8"/>
      <c r="E39" s="8"/>
      <c r="F39" s="9"/>
      <c r="G39" s="8"/>
      <c r="H39" s="8"/>
      <c r="I39" s="8"/>
      <c r="J39" s="9"/>
      <c r="K39" s="8"/>
      <c r="L39" s="8"/>
      <c r="M39" s="9"/>
      <c r="N39" s="9"/>
      <c r="O39" s="8"/>
      <c r="P39" s="8"/>
      <c r="Q39" s="8"/>
      <c r="R39" s="8"/>
      <c r="S39" s="8"/>
      <c r="T39" s="8"/>
      <c r="U39" s="8"/>
      <c r="V39" s="8"/>
      <c r="W39" s="8"/>
      <c r="X39" s="10"/>
      <c r="Y39" s="11"/>
      <c r="Z39" s="13"/>
    </row>
    <row r="40" spans="2:26" x14ac:dyDescent="0.2">
      <c r="E40" s="15"/>
    </row>
    <row r="41" spans="2:26" x14ac:dyDescent="0.2">
      <c r="E41" s="15"/>
    </row>
    <row r="42" spans="2:26" x14ac:dyDescent="0.2">
      <c r="E42" s="15"/>
    </row>
    <row r="43" spans="2:26" x14ac:dyDescent="0.2">
      <c r="E43" s="15"/>
    </row>
    <row r="44" spans="2:26" x14ac:dyDescent="0.2">
      <c r="E44" s="15"/>
    </row>
    <row r="45" spans="2:26" x14ac:dyDescent="0.2">
      <c r="E45" s="15"/>
    </row>
    <row r="46" spans="2:26" x14ac:dyDescent="0.2">
      <c r="E46" s="15"/>
    </row>
    <row r="47" spans="2:26" x14ac:dyDescent="0.2">
      <c r="E47" s="15"/>
    </row>
    <row r="48" spans="2:26" x14ac:dyDescent="0.2">
      <c r="E48" s="15"/>
    </row>
  </sheetData>
  <sheetProtection formatCells="0" formatColumns="0" formatRows="0" insertColumns="0" insertRows="0" insertHyperlinks="0" deleteColumns="0" sort="0" autoFilter="0" pivotTables="0"/>
  <autoFilter ref="A2:AA33"/>
  <sortState ref="B3:Y39">
    <sortCondition ref="D3:D39"/>
    <sortCondition ref="C3:C39"/>
  </sortState>
  <customSheetViews>
    <customSheetView guid="{20107420-C70D-4517-BF83-D591027DEEFE}" scale="95" showPageBreaks="1" showGridLines="0" fitToPage="1" printArea="1" showAutoFilter="1">
      <pane xSplit="10" ySplit="3" topLeftCell="K4" activePane="bottomRight" state="frozen"/>
      <selection pane="bottomRight" activeCell="J12" sqref="J12"/>
      <pageMargins left="0.19685039370078741" right="0.19685039370078741" top="0.19685039370078741" bottom="0.19685039370078741" header="0.19685039370078741" footer="0.19685039370078741"/>
      <printOptions horizontalCentered="1"/>
      <pageSetup paperSize="9" scale="33" orientation="landscape" r:id="rId1"/>
      <headerFooter alignWithMargins="0"/>
      <autoFilter ref="B2:Y21"/>
    </customSheetView>
    <customSheetView guid="{4997DE1D-22FF-49BC-8C96-89A8C1D2DA39}" scale="95" showPageBreaks="1" showGridLines="0" fitToPage="1" printArea="1" showAutoFilter="1">
      <pane xSplit="10" ySplit="5" topLeftCell="Q7" activePane="bottomRight" state="frozen"/>
      <selection pane="bottomRight" activeCell="Q36" sqref="Q36"/>
      <pageMargins left="0.19685039370078741" right="0.19685039370078741" top="0.19685039370078741" bottom="0.19685039370078741" header="0.19685039370078741" footer="0.19685039370078741"/>
      <printOptions horizontalCentered="1"/>
      <pageSetup paperSize="9" scale="34" orientation="landscape" r:id="rId2"/>
      <headerFooter alignWithMargins="0"/>
      <autoFilter ref="B2:Y35"/>
    </customSheetView>
    <customSheetView guid="{649918E2-07F0-4EB3-B80E-AA6638E05914}" scale="95" showGridLines="0" fitToPage="1" showAutoFilter="1">
      <pane xSplit="10" ySplit="5" topLeftCell="L6" activePane="bottomRight" state="frozen"/>
      <selection pane="bottomRight" activeCell="W14" sqref="W14"/>
      <pageMargins left="0.19685039370078741" right="0.19685039370078741" top="0.19685039370078741" bottom="0.19685039370078741" header="0.19685039370078741" footer="0.19685039370078741"/>
      <printOptions horizontalCentered="1"/>
      <pageSetup paperSize="9" scale="34" orientation="landscape" r:id="rId3"/>
      <headerFooter alignWithMargins="0"/>
      <autoFilter ref="B2:Y35"/>
    </customSheetView>
    <customSheetView guid="{B066DB0B-2684-415C-8740-DD0376534906}" scale="95" showGridLines="0" fitToPage="1" showAutoFilter="1">
      <pane xSplit="10" ySplit="3" topLeftCell="K4" activePane="bottomRight" state="frozen"/>
      <selection pane="bottomRight" activeCell="J12" sqref="J12"/>
      <pageMargins left="0.19685039370078741" right="0.19685039370078741" top="0.19685039370078741" bottom="0.19685039370078741" header="0.19685039370078741" footer="0.19685039370078741"/>
      <printOptions horizontalCentered="1"/>
      <pageSetup paperSize="9" scale="33" orientation="landscape" r:id="rId4"/>
      <headerFooter alignWithMargins="0"/>
      <autoFilter ref="B2:Y21"/>
    </customSheetView>
  </customSheetViews>
  <mergeCells count="1">
    <mergeCell ref="B1:J1"/>
  </mergeCells>
  <phoneticPr fontId="0" type="noConversion"/>
  <printOptions horizontalCentered="1"/>
  <pageMargins left="0.19685039370078741" right="0.19685039370078741" top="0.19685039370078741" bottom="0.19685039370078741" header="0.19685039370078741" footer="0.19685039370078741"/>
  <pageSetup paperSize="9" scale="33" orientation="landscape" r:id="rId5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Listas!$A$2:$A$5</xm:f>
          </x14:formula1>
          <xm:sqref>C3:C39</xm:sqref>
        </x14:dataValidation>
        <x14:dataValidation type="list" allowBlank="1" showInputMessage="1" showErrorMessage="1">
          <x14:formula1>
            <xm:f>Listas!$B$2:$B$7</xm:f>
          </x14:formula1>
          <xm:sqref>E3:E39</xm:sqref>
        </x14:dataValidation>
        <x14:dataValidation type="list" allowBlank="1" showInputMessage="1" showErrorMessage="1">
          <x14:formula1>
            <xm:f>Listas!$C$2:$C$4</xm:f>
          </x14:formula1>
          <xm:sqref>G3:G39</xm:sqref>
        </x14:dataValidation>
        <x14:dataValidation type="list" allowBlank="1" showInputMessage="1" showErrorMessage="1">
          <x14:formula1>
            <xm:f>Listas!$D$2:$D$10</xm:f>
          </x14:formula1>
          <xm:sqref>I3:I39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F10"/>
  <sheetViews>
    <sheetView workbookViewId="0">
      <selection activeCell="I26" sqref="I26"/>
    </sheetView>
  </sheetViews>
  <sheetFormatPr defaultRowHeight="12.75" x14ac:dyDescent="0.2"/>
  <cols>
    <col min="1" max="1" width="17.42578125" bestFit="1" customWidth="1"/>
    <col min="2" max="2" width="9.28515625" customWidth="1"/>
    <col min="3" max="4" width="11.28515625" hidden="1" customWidth="1"/>
    <col min="5" max="5" width="11.28515625" customWidth="1"/>
    <col min="6" max="6" width="11.28515625" hidden="1" customWidth="1"/>
    <col min="7" max="7" width="10" customWidth="1"/>
    <col min="8" max="11" width="24.28515625" customWidth="1"/>
    <col min="12" max="12" width="22.140625" customWidth="1"/>
    <col min="13" max="13" width="29" customWidth="1"/>
    <col min="14" max="14" width="8.140625" customWidth="1"/>
    <col min="15" max="15" width="10" customWidth="1"/>
    <col min="16" max="19" width="24.28515625" customWidth="1"/>
    <col min="20" max="20" width="27.5703125" customWidth="1"/>
    <col min="21" max="21" width="27.140625" customWidth="1"/>
    <col min="22" max="23" width="24.28515625" customWidth="1"/>
    <col min="24" max="24" width="30.42578125" customWidth="1"/>
    <col min="25" max="25" width="30" customWidth="1"/>
    <col min="26" max="26" width="29" customWidth="1"/>
    <col min="27" max="27" width="28.5703125" customWidth="1"/>
    <col min="28" max="28" width="8.140625" customWidth="1"/>
    <col min="29" max="29" width="8.28515625" customWidth="1"/>
    <col min="30" max="31" width="10.85546875" customWidth="1"/>
    <col min="32" max="32" width="10" customWidth="1"/>
    <col min="33" max="33" width="16.85546875" bestFit="1" customWidth="1"/>
    <col min="34" max="35" width="24.28515625" bestFit="1" customWidth="1"/>
    <col min="36" max="36" width="30.42578125" bestFit="1" customWidth="1"/>
    <col min="37" max="37" width="19.7109375" bestFit="1" customWidth="1"/>
    <col min="38" max="38" width="29" bestFit="1" customWidth="1"/>
    <col min="39" max="39" width="18.42578125" bestFit="1" customWidth="1"/>
  </cols>
  <sheetData>
    <row r="1" spans="1:5" x14ac:dyDescent="0.2">
      <c r="A1" s="31" t="s">
        <v>24</v>
      </c>
      <c r="B1" s="32" t="s">
        <v>16</v>
      </c>
    </row>
    <row r="3" spans="1:5" x14ac:dyDescent="0.2">
      <c r="A3" s="19" t="s">
        <v>17</v>
      </c>
      <c r="B3" s="19" t="s">
        <v>26</v>
      </c>
      <c r="C3" s="20"/>
    </row>
    <row r="4" spans="1:5" x14ac:dyDescent="0.2">
      <c r="A4" s="19" t="s">
        <v>20</v>
      </c>
      <c r="B4" s="21" t="s">
        <v>7</v>
      </c>
      <c r="C4" s="22" t="s">
        <v>15</v>
      </c>
    </row>
    <row r="5" spans="1:5" x14ac:dyDescent="0.2">
      <c r="A5" s="21" t="s">
        <v>12</v>
      </c>
      <c r="B5" s="23">
        <v>1</v>
      </c>
      <c r="C5" s="24">
        <v>1</v>
      </c>
      <c r="E5" s="18">
        <f>GETPIVOTDATA("Cód.",$A$3,"Módulo","PM","Status","Em Desenvolv.")/11</f>
        <v>9.0909090909090912E-2</v>
      </c>
    </row>
    <row r="6" spans="1:5" x14ac:dyDescent="0.2">
      <c r="A6" s="25" t="s">
        <v>18</v>
      </c>
      <c r="B6" s="26">
        <v>4</v>
      </c>
      <c r="C6" s="27">
        <v>4</v>
      </c>
      <c r="E6" s="18">
        <f>GETPIVOTDATA("Cód.",$A$3,"Módulo","PM","Status","Não Iniciado")/11</f>
        <v>0.36363636363636365</v>
      </c>
    </row>
    <row r="7" spans="1:5" x14ac:dyDescent="0.2">
      <c r="A7" s="25" t="s">
        <v>9</v>
      </c>
      <c r="B7" s="26">
        <v>4</v>
      </c>
      <c r="C7" s="27">
        <v>4</v>
      </c>
      <c r="E7" s="18">
        <f>GETPIVOTDATA("Cód.",$A$3,"Módulo","PM","Status","Testes DEV")/11</f>
        <v>0.36363636363636365</v>
      </c>
    </row>
    <row r="8" spans="1:5" x14ac:dyDescent="0.2">
      <c r="A8" s="25" t="s">
        <v>13</v>
      </c>
      <c r="B8" s="26">
        <v>1</v>
      </c>
      <c r="C8" s="27">
        <v>1</v>
      </c>
      <c r="E8" s="18">
        <f>GETPIVOTDATA("Cód.",$A$3,"Módulo","PM","Status","Em Especificação")/11</f>
        <v>9.0909090909090912E-2</v>
      </c>
    </row>
    <row r="9" spans="1:5" x14ac:dyDescent="0.2">
      <c r="A9" s="25" t="s">
        <v>1</v>
      </c>
      <c r="B9" s="26">
        <v>1</v>
      </c>
      <c r="C9" s="27">
        <v>1</v>
      </c>
      <c r="E9" s="18">
        <f>GETPIVOTDATA("Cód.",$A$3,"Módulo","PM","Status","Parado")/11</f>
        <v>9.0909090909090912E-2</v>
      </c>
    </row>
    <row r="10" spans="1:5" x14ac:dyDescent="0.2">
      <c r="A10" s="28" t="s">
        <v>15</v>
      </c>
      <c r="B10" s="29">
        <v>11</v>
      </c>
      <c r="C10" s="30">
        <v>11</v>
      </c>
    </row>
  </sheetData>
  <customSheetViews>
    <customSheetView guid="{20107420-C70D-4517-BF83-D591027DEEFE}" hiddenColumns="1">
      <selection activeCell="I14" sqref="I14"/>
      <pageMargins left="0.511811024" right="0.511811024" top="0.78740157499999996" bottom="0.78740157499999996" header="0.31496062000000002" footer="0.31496062000000002"/>
    </customSheetView>
    <customSheetView guid="{4997DE1D-22FF-49BC-8C96-89A8C1D2DA39}">
      <selection activeCell="H14" sqref="H14"/>
      <pageMargins left="0.511811024" right="0.511811024" top="0.78740157499999996" bottom="0.78740157499999996" header="0.31496062000000002" footer="0.31496062000000002"/>
    </customSheetView>
    <customSheetView guid="{649918E2-07F0-4EB3-B80E-AA6638E05914}">
      <selection activeCell="H14" sqref="H14"/>
      <pageMargins left="0.511811024" right="0.511811024" top="0.78740157499999996" bottom="0.78740157499999996" header="0.31496062000000002" footer="0.31496062000000002"/>
    </customSheetView>
    <customSheetView guid="{B066DB0B-2684-415C-8740-DD0376534906}" hiddenColumns="1">
      <selection activeCell="A5" sqref="A5"/>
      <pageMargins left="0.511811024" right="0.511811024" top="0.78740157499999996" bottom="0.78740157499999996" header="0.31496062000000002" footer="0.31496062000000002"/>
    </customSheetView>
  </customSheetViews>
  <pageMargins left="0.511811024" right="0.511811024" top="0.78740157499999996" bottom="0.78740157499999996" header="0.31496062000000002" footer="0.31496062000000002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2:D10"/>
  <sheetViews>
    <sheetView workbookViewId="0">
      <selection activeCell="B8" sqref="B8"/>
    </sheetView>
  </sheetViews>
  <sheetFormatPr defaultRowHeight="12.75" x14ac:dyDescent="0.2"/>
  <cols>
    <col min="3" max="3" width="17.28515625" bestFit="1" customWidth="1"/>
    <col min="4" max="4" width="16.140625" bestFit="1" customWidth="1"/>
  </cols>
  <sheetData>
    <row r="2" spans="1:4" x14ac:dyDescent="0.2">
      <c r="A2" s="1" t="s">
        <v>5</v>
      </c>
      <c r="B2" s="1" t="s">
        <v>7</v>
      </c>
      <c r="C2" s="1" t="s">
        <v>0</v>
      </c>
      <c r="D2" s="1" t="s">
        <v>18</v>
      </c>
    </row>
    <row r="3" spans="1:4" x14ac:dyDescent="0.2">
      <c r="A3" s="1" t="s">
        <v>3</v>
      </c>
      <c r="B3" s="1" t="s">
        <v>47</v>
      </c>
      <c r="C3" s="1" t="s">
        <v>42</v>
      </c>
      <c r="D3" s="1" t="s">
        <v>8</v>
      </c>
    </row>
    <row r="4" spans="1:4" x14ac:dyDescent="0.2">
      <c r="A4" s="1" t="s">
        <v>2</v>
      </c>
      <c r="B4" s="1" t="s">
        <v>48</v>
      </c>
      <c r="C4" s="1" t="s">
        <v>14</v>
      </c>
      <c r="D4" s="1" t="s">
        <v>13</v>
      </c>
    </row>
    <row r="5" spans="1:4" x14ac:dyDescent="0.2">
      <c r="A5" s="1" t="s">
        <v>6</v>
      </c>
      <c r="B5" s="1" t="s">
        <v>46</v>
      </c>
      <c r="C5" s="1"/>
      <c r="D5" s="1" t="s">
        <v>12</v>
      </c>
    </row>
    <row r="6" spans="1:4" x14ac:dyDescent="0.2">
      <c r="B6" s="1" t="s">
        <v>53</v>
      </c>
      <c r="D6" s="1" t="s">
        <v>1</v>
      </c>
    </row>
    <row r="7" spans="1:4" x14ac:dyDescent="0.2">
      <c r="B7" s="1" t="s">
        <v>54</v>
      </c>
      <c r="D7" s="1" t="s">
        <v>9</v>
      </c>
    </row>
    <row r="8" spans="1:4" x14ac:dyDescent="0.2">
      <c r="D8" s="1" t="s">
        <v>10</v>
      </c>
    </row>
    <row r="9" spans="1:4" x14ac:dyDescent="0.2">
      <c r="D9" s="1" t="s">
        <v>11</v>
      </c>
    </row>
    <row r="10" spans="1:4" x14ac:dyDescent="0.2">
      <c r="D10" s="1" t="s">
        <v>4</v>
      </c>
    </row>
  </sheetData>
  <customSheetViews>
    <customSheetView guid="{20107420-C70D-4517-BF83-D591027DEEFE}">
      <selection activeCell="G21" sqref="G21"/>
      <pageMargins left="0.511811024" right="0.511811024" top="0.78740157499999996" bottom="0.78740157499999996" header="0.31496062000000002" footer="0.31496062000000002"/>
    </customSheetView>
    <customSheetView guid="{4997DE1D-22FF-49BC-8C96-89A8C1D2DA39}">
      <selection activeCell="C10" sqref="C10"/>
      <pageMargins left="0.511811024" right="0.511811024" top="0.78740157499999996" bottom="0.78740157499999996" header="0.31496062000000002" footer="0.31496062000000002"/>
    </customSheetView>
    <customSheetView guid="{649918E2-07F0-4EB3-B80E-AA6638E05914}">
      <selection activeCell="C10" sqref="C10"/>
      <pageMargins left="0.511811024" right="0.511811024" top="0.78740157499999996" bottom="0.78740157499999996" header="0.31496062000000002" footer="0.31496062000000002"/>
    </customSheetView>
    <customSheetView guid="{B066DB0B-2684-415C-8740-DD0376534906}">
      <selection activeCell="G21" sqref="G21"/>
      <pageMargins left="0.511811024" right="0.511811024" top="0.78740157499999996" bottom="0.78740157499999996" header="0.31496062000000002" footer="0.31496062000000002"/>
    </customSheetView>
  </customSheetView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</vt:i4>
      </vt:variant>
    </vt:vector>
  </HeadingPairs>
  <TitlesOfParts>
    <vt:vector size="4" baseType="lpstr">
      <vt:lpstr>Desenv. SNLD</vt:lpstr>
      <vt:lpstr>Resumo</vt:lpstr>
      <vt:lpstr>Listas</vt:lpstr>
      <vt:lpstr>'Desenv. SNLD'!Area_de_impressao</vt:lpstr>
    </vt:vector>
  </TitlesOfParts>
  <Company>Batavia S.A.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</dc:creator>
  <cp:lastModifiedBy>Wagner</cp:lastModifiedBy>
  <cp:lastPrinted>2008-11-17T11:41:02Z</cp:lastPrinted>
  <dcterms:created xsi:type="dcterms:W3CDTF">2007-04-10T11:50:41Z</dcterms:created>
  <dcterms:modified xsi:type="dcterms:W3CDTF">2016-03-29T13:43:04Z</dcterms:modified>
</cp:coreProperties>
</file>